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2"/>
  <workbookPr/>
  <mc:AlternateContent xmlns:mc="http://schemas.openxmlformats.org/markup-compatibility/2006">
    <mc:Choice Requires="x15">
      <x15ac:absPath xmlns:x15ac="http://schemas.microsoft.com/office/spreadsheetml/2010/11/ac" url="/Users/c-fellathegreat/Desktop/GRC Labs/"/>
    </mc:Choice>
  </mc:AlternateContent>
  <xr:revisionPtr revIDLastSave="0" documentId="13_ncr:1_{496559DE-82E0-6D4E-979B-9C326EECE661}" xr6:coauthVersionLast="47" xr6:coauthVersionMax="47" xr10:uidLastSave="{00000000-0000-0000-0000-000000000000}"/>
  <bookViews>
    <workbookView xWindow="-38340" yWindow="2640" windowWidth="37580" windowHeight="21000" xr2:uid="{00000000-000D-0000-FFFF-FFFF00000000}"/>
  </bookViews>
  <sheets>
    <sheet name="Dashboard" sheetId="7" r:id="rId1"/>
    <sheet name="Executive Summary " sheetId="9" r:id="rId2"/>
    <sheet name="Compliance Assessment" sheetId="4" r:id="rId3"/>
    <sheet name="Risk Register" sheetId="5" r:id="rId4"/>
    <sheet name="Remediation Plan" sheetId="6" r:id="rId5"/>
    <sheet name="Evidence Appendix" sheetId="8" r:id="rId6"/>
    <sheet name="Asset Inventory" sheetId="3" r:id="rId7"/>
    <sheet name="Instructions" sheetId="2" r:id="rId8"/>
    <sheet name="Lists" sheetId="1" r:id="rId9"/>
  </sheets>
  <definedNames>
    <definedName name="AssetCriticalityList">Lists!$F$1:$F$4</definedName>
    <definedName name="OwnerList">Lists!$G$1:$G$5</definedName>
    <definedName name="PriorityList">Lists!$E$1:$E$4</definedName>
    <definedName name="RemediationStatusList">Lists!$D$1:$D$4</definedName>
    <definedName name="RiskLevelList">Lists!$B$1:$B$4</definedName>
    <definedName name="StatusList">Lists!$A$1:$A$3</definedName>
    <definedName name="TreatmentList">Lists!$C$1:$C$4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12" i="4" l="1"/>
  <c r="E5" i="4"/>
  <c r="A5" i="4"/>
  <c r="B5" i="7"/>
  <c r="B4" i="7"/>
  <c r="K120" i="6"/>
  <c r="J120" i="6"/>
  <c r="A120" i="6"/>
  <c r="K119" i="6"/>
  <c r="J119" i="6"/>
  <c r="A119" i="6"/>
  <c r="K118" i="6"/>
  <c r="J118" i="6"/>
  <c r="A118" i="6"/>
  <c r="K117" i="6"/>
  <c r="J117" i="6"/>
  <c r="A117" i="6"/>
  <c r="K116" i="6"/>
  <c r="J116" i="6"/>
  <c r="A116" i="6"/>
  <c r="K115" i="6"/>
  <c r="J115" i="6"/>
  <c r="A115" i="6"/>
  <c r="K114" i="6"/>
  <c r="J114" i="6"/>
  <c r="A114" i="6"/>
  <c r="K113" i="6"/>
  <c r="J113" i="6"/>
  <c r="A113" i="6"/>
  <c r="K112" i="6"/>
  <c r="J112" i="6"/>
  <c r="A112" i="6"/>
  <c r="K111" i="6"/>
  <c r="J111" i="6"/>
  <c r="A111" i="6"/>
  <c r="K110" i="6"/>
  <c r="J110" i="6"/>
  <c r="A110" i="6"/>
  <c r="K109" i="6"/>
  <c r="J109" i="6"/>
  <c r="A109" i="6"/>
  <c r="K108" i="6"/>
  <c r="J108" i="6"/>
  <c r="A108" i="6"/>
  <c r="K107" i="6"/>
  <c r="J107" i="6"/>
  <c r="A107" i="6"/>
  <c r="K106" i="6"/>
  <c r="J106" i="6"/>
  <c r="A106" i="6"/>
  <c r="K105" i="6"/>
  <c r="J105" i="6"/>
  <c r="A105" i="6"/>
  <c r="K104" i="6"/>
  <c r="J104" i="6"/>
  <c r="A104" i="6"/>
  <c r="K103" i="6"/>
  <c r="J103" i="6"/>
  <c r="A103" i="6"/>
  <c r="K102" i="6"/>
  <c r="J102" i="6"/>
  <c r="A102" i="6"/>
  <c r="K101" i="6"/>
  <c r="J101" i="6"/>
  <c r="A101" i="6"/>
  <c r="K100" i="6"/>
  <c r="J100" i="6"/>
  <c r="A100" i="6"/>
  <c r="K99" i="6"/>
  <c r="J99" i="6"/>
  <c r="A99" i="6"/>
  <c r="K98" i="6"/>
  <c r="J98" i="6"/>
  <c r="A98" i="6"/>
  <c r="K97" i="6"/>
  <c r="J97" i="6"/>
  <c r="A97" i="6"/>
  <c r="K96" i="6"/>
  <c r="J96" i="6"/>
  <c r="A96" i="6"/>
  <c r="K95" i="6"/>
  <c r="J95" i="6"/>
  <c r="A95" i="6"/>
  <c r="K94" i="6"/>
  <c r="J94" i="6"/>
  <c r="A94" i="6"/>
  <c r="K93" i="6"/>
  <c r="J93" i="6"/>
  <c r="A93" i="6"/>
  <c r="K92" i="6"/>
  <c r="J92" i="6"/>
  <c r="A92" i="6"/>
  <c r="K91" i="6"/>
  <c r="J91" i="6"/>
  <c r="A91" i="6"/>
  <c r="K90" i="6"/>
  <c r="J90" i="6"/>
  <c r="A90" i="6"/>
  <c r="K89" i="6"/>
  <c r="J89" i="6"/>
  <c r="A89" i="6"/>
  <c r="K88" i="6"/>
  <c r="J88" i="6"/>
  <c r="A88" i="6"/>
  <c r="K87" i="6"/>
  <c r="J87" i="6"/>
  <c r="A87" i="6"/>
  <c r="K86" i="6"/>
  <c r="J86" i="6"/>
  <c r="A86" i="6"/>
  <c r="K85" i="6"/>
  <c r="J85" i="6"/>
  <c r="A85" i="6"/>
  <c r="K84" i="6"/>
  <c r="J84" i="6"/>
  <c r="A84" i="6"/>
  <c r="K83" i="6"/>
  <c r="J83" i="6"/>
  <c r="A83" i="6"/>
  <c r="K82" i="6"/>
  <c r="J82" i="6"/>
  <c r="A82" i="6"/>
  <c r="K81" i="6"/>
  <c r="J81" i="6"/>
  <c r="A81" i="6"/>
  <c r="K80" i="6"/>
  <c r="J80" i="6"/>
  <c r="A80" i="6"/>
  <c r="K79" i="6"/>
  <c r="J79" i="6"/>
  <c r="A79" i="6"/>
  <c r="K78" i="6"/>
  <c r="J78" i="6"/>
  <c r="A78" i="6"/>
  <c r="K77" i="6"/>
  <c r="J77" i="6"/>
  <c r="A77" i="6"/>
  <c r="K76" i="6"/>
  <c r="J76" i="6"/>
  <c r="A76" i="6"/>
  <c r="K75" i="6"/>
  <c r="J75" i="6"/>
  <c r="A75" i="6"/>
  <c r="K74" i="6"/>
  <c r="J74" i="6"/>
  <c r="A74" i="6"/>
  <c r="K73" i="6"/>
  <c r="J73" i="6"/>
  <c r="A73" i="6"/>
  <c r="K72" i="6"/>
  <c r="J72" i="6"/>
  <c r="A72" i="6"/>
  <c r="K71" i="6"/>
  <c r="J71" i="6"/>
  <c r="A71" i="6"/>
  <c r="K70" i="6"/>
  <c r="J70" i="6"/>
  <c r="A70" i="6"/>
  <c r="K69" i="6"/>
  <c r="J69" i="6"/>
  <c r="A69" i="6"/>
  <c r="K68" i="6"/>
  <c r="J68" i="6"/>
  <c r="A68" i="6"/>
  <c r="K67" i="6"/>
  <c r="J67" i="6"/>
  <c r="A67" i="6"/>
  <c r="K66" i="6"/>
  <c r="J66" i="6"/>
  <c r="A66" i="6"/>
  <c r="K65" i="6"/>
  <c r="J65" i="6"/>
  <c r="A65" i="6"/>
  <c r="K64" i="6"/>
  <c r="J64" i="6"/>
  <c r="A64" i="6"/>
  <c r="K63" i="6"/>
  <c r="J63" i="6"/>
  <c r="A63" i="6"/>
  <c r="K62" i="6"/>
  <c r="J62" i="6"/>
  <c r="A62" i="6"/>
  <c r="K61" i="6"/>
  <c r="J61" i="6"/>
  <c r="A61" i="6"/>
  <c r="K60" i="6"/>
  <c r="J60" i="6"/>
  <c r="A60" i="6"/>
  <c r="K59" i="6"/>
  <c r="J59" i="6"/>
  <c r="A59" i="6"/>
  <c r="K58" i="6"/>
  <c r="J58" i="6"/>
  <c r="A58" i="6"/>
  <c r="K57" i="6"/>
  <c r="J57" i="6"/>
  <c r="A57" i="6"/>
  <c r="K56" i="6"/>
  <c r="J56" i="6"/>
  <c r="A56" i="6"/>
  <c r="K55" i="6"/>
  <c r="J55" i="6"/>
  <c r="A55" i="6"/>
  <c r="K54" i="6"/>
  <c r="J54" i="6"/>
  <c r="A54" i="6"/>
  <c r="K53" i="6"/>
  <c r="J53" i="6"/>
  <c r="A53" i="6"/>
  <c r="K52" i="6"/>
  <c r="J52" i="6"/>
  <c r="A52" i="6"/>
  <c r="K51" i="6"/>
  <c r="J51" i="6"/>
  <c r="A51" i="6"/>
  <c r="K50" i="6"/>
  <c r="J50" i="6"/>
  <c r="A50" i="6"/>
  <c r="K49" i="6"/>
  <c r="J49" i="6"/>
  <c r="A49" i="6"/>
  <c r="K48" i="6"/>
  <c r="J48" i="6"/>
  <c r="A48" i="6"/>
  <c r="K47" i="6"/>
  <c r="J47" i="6"/>
  <c r="A47" i="6"/>
  <c r="K46" i="6"/>
  <c r="J46" i="6"/>
  <c r="A46" i="6"/>
  <c r="K45" i="6"/>
  <c r="J45" i="6"/>
  <c r="A45" i="6"/>
  <c r="K44" i="6"/>
  <c r="J44" i="6"/>
  <c r="A44" i="6"/>
  <c r="K43" i="6"/>
  <c r="J43" i="6"/>
  <c r="A43" i="6"/>
  <c r="K42" i="6"/>
  <c r="J42" i="6"/>
  <c r="A42" i="6"/>
  <c r="K41" i="6"/>
  <c r="J41" i="6"/>
  <c r="A41" i="6"/>
  <c r="K40" i="6"/>
  <c r="J40" i="6"/>
  <c r="A40" i="6"/>
  <c r="K39" i="6"/>
  <c r="J39" i="6"/>
  <c r="A39" i="6"/>
  <c r="K38" i="6"/>
  <c r="J38" i="6"/>
  <c r="A38" i="6"/>
  <c r="K37" i="6"/>
  <c r="J37" i="6"/>
  <c r="A37" i="6"/>
  <c r="K36" i="6"/>
  <c r="J36" i="6"/>
  <c r="A36" i="6"/>
  <c r="K35" i="6"/>
  <c r="J35" i="6"/>
  <c r="A35" i="6"/>
  <c r="K34" i="6"/>
  <c r="J34" i="6"/>
  <c r="A34" i="6"/>
  <c r="K33" i="6"/>
  <c r="J33" i="6"/>
  <c r="A33" i="6"/>
  <c r="K32" i="6"/>
  <c r="J32" i="6"/>
  <c r="A32" i="6"/>
  <c r="K31" i="6"/>
  <c r="J31" i="6"/>
  <c r="A31" i="6"/>
  <c r="K30" i="6"/>
  <c r="J30" i="6"/>
  <c r="A30" i="6"/>
  <c r="K29" i="6"/>
  <c r="J29" i="6"/>
  <c r="A29" i="6"/>
  <c r="K28" i="6"/>
  <c r="J28" i="6"/>
  <c r="A28" i="6"/>
  <c r="K27" i="6"/>
  <c r="J27" i="6"/>
  <c r="A27" i="6"/>
  <c r="K26" i="6"/>
  <c r="J26" i="6"/>
  <c r="A26" i="6"/>
  <c r="K25" i="6"/>
  <c r="J25" i="6"/>
  <c r="A25" i="6"/>
  <c r="K24" i="6"/>
  <c r="J24" i="6"/>
  <c r="A24" i="6"/>
  <c r="K23" i="6"/>
  <c r="J23" i="6"/>
  <c r="A23" i="6"/>
  <c r="K22" i="6"/>
  <c r="J22" i="6"/>
  <c r="A22" i="6"/>
  <c r="K21" i="6"/>
  <c r="J21" i="6"/>
  <c r="A21" i="6"/>
  <c r="K20" i="6"/>
  <c r="J20" i="6"/>
  <c r="A20" i="6"/>
  <c r="K19" i="6"/>
  <c r="J19" i="6"/>
  <c r="A19" i="6"/>
  <c r="K18" i="6"/>
  <c r="J18" i="6"/>
  <c r="A18" i="6"/>
  <c r="K17" i="6"/>
  <c r="J17" i="6"/>
  <c r="A17" i="6"/>
  <c r="K16" i="6"/>
  <c r="J16" i="6"/>
  <c r="A16" i="6"/>
  <c r="K15" i="6"/>
  <c r="J15" i="6"/>
  <c r="A15" i="6"/>
  <c r="K14" i="6"/>
  <c r="J14" i="6"/>
  <c r="A14" i="6"/>
  <c r="K13" i="6"/>
  <c r="J13" i="6"/>
  <c r="A13" i="6"/>
  <c r="K12" i="6"/>
  <c r="J12" i="6"/>
  <c r="A12" i="6"/>
  <c r="K11" i="6"/>
  <c r="J11" i="6"/>
  <c r="A11" i="6"/>
  <c r="K10" i="6"/>
  <c r="J10" i="6"/>
  <c r="A10" i="6"/>
  <c r="K9" i="6"/>
  <c r="J9" i="6"/>
  <c r="A9" i="6"/>
  <c r="K8" i="6"/>
  <c r="J8" i="6"/>
  <c r="A8" i="6"/>
  <c r="K7" i="6"/>
  <c r="J7" i="6"/>
  <c r="A7" i="6"/>
  <c r="K6" i="6"/>
  <c r="J6" i="6"/>
  <c r="A6" i="6"/>
  <c r="K5" i="6"/>
  <c r="J5" i="6"/>
  <c r="A5" i="6"/>
  <c r="K4" i="6"/>
  <c r="J4" i="6"/>
  <c r="A4" i="6"/>
  <c r="I120" i="5"/>
  <c r="H120" i="5"/>
  <c r="A120" i="5"/>
  <c r="H119" i="5"/>
  <c r="I119" i="5" s="1"/>
  <c r="A119" i="5"/>
  <c r="H118" i="5"/>
  <c r="I118" i="5" s="1"/>
  <c r="A118" i="5"/>
  <c r="H117" i="5"/>
  <c r="I117" i="5" s="1"/>
  <c r="A117" i="5"/>
  <c r="H116" i="5"/>
  <c r="I116" i="5" s="1"/>
  <c r="A116" i="5"/>
  <c r="H115" i="5"/>
  <c r="I115" i="5" s="1"/>
  <c r="A115" i="5"/>
  <c r="H114" i="5"/>
  <c r="I114" i="5" s="1"/>
  <c r="A114" i="5"/>
  <c r="H113" i="5"/>
  <c r="I113" i="5" s="1"/>
  <c r="A113" i="5"/>
  <c r="H112" i="5"/>
  <c r="I112" i="5" s="1"/>
  <c r="A112" i="5"/>
  <c r="H111" i="5"/>
  <c r="I111" i="5" s="1"/>
  <c r="A111" i="5"/>
  <c r="H110" i="5"/>
  <c r="I110" i="5" s="1"/>
  <c r="A110" i="5"/>
  <c r="H109" i="5"/>
  <c r="I109" i="5" s="1"/>
  <c r="A109" i="5"/>
  <c r="H108" i="5"/>
  <c r="I108" i="5" s="1"/>
  <c r="A108" i="5"/>
  <c r="I107" i="5"/>
  <c r="H107" i="5"/>
  <c r="A107" i="5"/>
  <c r="I106" i="5"/>
  <c r="H106" i="5"/>
  <c r="A106" i="5"/>
  <c r="I105" i="5"/>
  <c r="H105" i="5"/>
  <c r="A105" i="5"/>
  <c r="I104" i="5"/>
  <c r="H104" i="5"/>
  <c r="A104" i="5"/>
  <c r="I103" i="5"/>
  <c r="H103" i="5"/>
  <c r="A103" i="5"/>
  <c r="I102" i="5"/>
  <c r="H102" i="5"/>
  <c r="A102" i="5"/>
  <c r="I101" i="5"/>
  <c r="H101" i="5"/>
  <c r="A101" i="5"/>
  <c r="I100" i="5"/>
  <c r="H100" i="5"/>
  <c r="A100" i="5"/>
  <c r="H99" i="5"/>
  <c r="I99" i="5" s="1"/>
  <c r="A99" i="5"/>
  <c r="H98" i="5"/>
  <c r="I98" i="5" s="1"/>
  <c r="A98" i="5"/>
  <c r="H97" i="5"/>
  <c r="I97" i="5" s="1"/>
  <c r="A97" i="5"/>
  <c r="H96" i="5"/>
  <c r="I96" i="5" s="1"/>
  <c r="A96" i="5"/>
  <c r="H95" i="5"/>
  <c r="I95" i="5" s="1"/>
  <c r="A95" i="5"/>
  <c r="H94" i="5"/>
  <c r="I94" i="5" s="1"/>
  <c r="A94" i="5"/>
  <c r="H93" i="5"/>
  <c r="I93" i="5" s="1"/>
  <c r="A93" i="5"/>
  <c r="H92" i="5"/>
  <c r="I92" i="5" s="1"/>
  <c r="A92" i="5"/>
  <c r="H91" i="5"/>
  <c r="I91" i="5" s="1"/>
  <c r="A91" i="5"/>
  <c r="H90" i="5"/>
  <c r="I90" i="5" s="1"/>
  <c r="A90" i="5"/>
  <c r="H89" i="5"/>
  <c r="I89" i="5" s="1"/>
  <c r="A89" i="5"/>
  <c r="H88" i="5"/>
  <c r="I88" i="5" s="1"/>
  <c r="A88" i="5"/>
  <c r="I87" i="5"/>
  <c r="H87" i="5"/>
  <c r="A87" i="5"/>
  <c r="I86" i="5"/>
  <c r="H86" i="5"/>
  <c r="A86" i="5"/>
  <c r="I85" i="5"/>
  <c r="H85" i="5"/>
  <c r="A85" i="5"/>
  <c r="I84" i="5"/>
  <c r="H84" i="5"/>
  <c r="A84" i="5"/>
  <c r="I83" i="5"/>
  <c r="H83" i="5"/>
  <c r="A83" i="5"/>
  <c r="I82" i="5"/>
  <c r="H82" i="5"/>
  <c r="A82" i="5"/>
  <c r="I81" i="5"/>
  <c r="H81" i="5"/>
  <c r="A81" i="5"/>
  <c r="I80" i="5"/>
  <c r="H80" i="5"/>
  <c r="A80" i="5"/>
  <c r="H79" i="5"/>
  <c r="I79" i="5" s="1"/>
  <c r="A79" i="5"/>
  <c r="H78" i="5"/>
  <c r="I78" i="5" s="1"/>
  <c r="A78" i="5"/>
  <c r="H77" i="5"/>
  <c r="I77" i="5" s="1"/>
  <c r="A77" i="5"/>
  <c r="H76" i="5"/>
  <c r="I76" i="5" s="1"/>
  <c r="A76" i="5"/>
  <c r="H75" i="5"/>
  <c r="I75" i="5" s="1"/>
  <c r="A75" i="5"/>
  <c r="H74" i="5"/>
  <c r="I74" i="5" s="1"/>
  <c r="A74" i="5"/>
  <c r="H73" i="5"/>
  <c r="I73" i="5" s="1"/>
  <c r="A73" i="5"/>
  <c r="H72" i="5"/>
  <c r="I72" i="5" s="1"/>
  <c r="A72" i="5"/>
  <c r="H71" i="5"/>
  <c r="I71" i="5" s="1"/>
  <c r="A71" i="5"/>
  <c r="H70" i="5"/>
  <c r="I70" i="5" s="1"/>
  <c r="A70" i="5"/>
  <c r="H69" i="5"/>
  <c r="I69" i="5" s="1"/>
  <c r="A69" i="5"/>
  <c r="H68" i="5"/>
  <c r="I68" i="5" s="1"/>
  <c r="A68" i="5"/>
  <c r="I67" i="5"/>
  <c r="H67" i="5"/>
  <c r="A67" i="5"/>
  <c r="I66" i="5"/>
  <c r="H66" i="5"/>
  <c r="A66" i="5"/>
  <c r="I65" i="5"/>
  <c r="H65" i="5"/>
  <c r="A65" i="5"/>
  <c r="I64" i="5"/>
  <c r="H64" i="5"/>
  <c r="A64" i="5"/>
  <c r="I63" i="5"/>
  <c r="H63" i="5"/>
  <c r="A63" i="5"/>
  <c r="I62" i="5"/>
  <c r="H62" i="5"/>
  <c r="A62" i="5"/>
  <c r="I61" i="5"/>
  <c r="H61" i="5"/>
  <c r="A61" i="5"/>
  <c r="I60" i="5"/>
  <c r="H60" i="5"/>
  <c r="A60" i="5"/>
  <c r="H59" i="5"/>
  <c r="I59" i="5" s="1"/>
  <c r="A59" i="5"/>
  <c r="H58" i="5"/>
  <c r="I58" i="5" s="1"/>
  <c r="A58" i="5"/>
  <c r="H57" i="5"/>
  <c r="I57" i="5" s="1"/>
  <c r="A57" i="5"/>
  <c r="H56" i="5"/>
  <c r="I56" i="5" s="1"/>
  <c r="A56" i="5"/>
  <c r="H55" i="5"/>
  <c r="I55" i="5" s="1"/>
  <c r="A55" i="5"/>
  <c r="H54" i="5"/>
  <c r="I54" i="5" s="1"/>
  <c r="A54" i="5"/>
  <c r="H53" i="5"/>
  <c r="I53" i="5" s="1"/>
  <c r="A53" i="5"/>
  <c r="H52" i="5"/>
  <c r="I52" i="5" s="1"/>
  <c r="A52" i="5"/>
  <c r="H51" i="5"/>
  <c r="I51" i="5" s="1"/>
  <c r="A51" i="5"/>
  <c r="H50" i="5"/>
  <c r="I50" i="5" s="1"/>
  <c r="A50" i="5"/>
  <c r="H49" i="5"/>
  <c r="I49" i="5" s="1"/>
  <c r="A49" i="5"/>
  <c r="H48" i="5"/>
  <c r="I48" i="5" s="1"/>
  <c r="A48" i="5"/>
  <c r="I47" i="5"/>
  <c r="H47" i="5"/>
  <c r="A47" i="5"/>
  <c r="I46" i="5"/>
  <c r="H46" i="5"/>
  <c r="A46" i="5"/>
  <c r="I45" i="5"/>
  <c r="H45" i="5"/>
  <c r="A45" i="5"/>
  <c r="I44" i="5"/>
  <c r="H44" i="5"/>
  <c r="A44" i="5"/>
  <c r="I43" i="5"/>
  <c r="H43" i="5"/>
  <c r="A43" i="5"/>
  <c r="I42" i="5"/>
  <c r="H42" i="5"/>
  <c r="A42" i="5"/>
  <c r="I41" i="5"/>
  <c r="H41" i="5"/>
  <c r="A41" i="5"/>
  <c r="I40" i="5"/>
  <c r="H40" i="5"/>
  <c r="A40" i="5"/>
  <c r="H39" i="5"/>
  <c r="I39" i="5" s="1"/>
  <c r="A39" i="5"/>
  <c r="H38" i="5"/>
  <c r="I38" i="5" s="1"/>
  <c r="A38" i="5"/>
  <c r="H37" i="5"/>
  <c r="I37" i="5" s="1"/>
  <c r="A37" i="5"/>
  <c r="H36" i="5"/>
  <c r="I36" i="5" s="1"/>
  <c r="A36" i="5"/>
  <c r="H35" i="5"/>
  <c r="I35" i="5" s="1"/>
  <c r="A35" i="5"/>
  <c r="H34" i="5"/>
  <c r="I34" i="5" s="1"/>
  <c r="A34" i="5"/>
  <c r="H33" i="5"/>
  <c r="I33" i="5" s="1"/>
  <c r="A33" i="5"/>
  <c r="H32" i="5"/>
  <c r="I32" i="5" s="1"/>
  <c r="A32" i="5"/>
  <c r="H31" i="5"/>
  <c r="I31" i="5" s="1"/>
  <c r="A31" i="5"/>
  <c r="H30" i="5"/>
  <c r="I30" i="5" s="1"/>
  <c r="A30" i="5"/>
  <c r="H29" i="5"/>
  <c r="I29" i="5" s="1"/>
  <c r="A29" i="5"/>
  <c r="H28" i="5"/>
  <c r="I28" i="5" s="1"/>
  <c r="A28" i="5"/>
  <c r="I27" i="5"/>
  <c r="H27" i="5"/>
  <c r="A27" i="5"/>
  <c r="I26" i="5"/>
  <c r="H26" i="5"/>
  <c r="A26" i="5"/>
  <c r="I25" i="5"/>
  <c r="H25" i="5"/>
  <c r="A25" i="5"/>
  <c r="I24" i="5"/>
  <c r="H24" i="5"/>
  <c r="A24" i="5"/>
  <c r="I23" i="5"/>
  <c r="H23" i="5"/>
  <c r="A23" i="5"/>
  <c r="I22" i="5"/>
  <c r="H22" i="5"/>
  <c r="A22" i="5"/>
  <c r="I21" i="5"/>
  <c r="H21" i="5"/>
  <c r="A21" i="5"/>
  <c r="I20" i="5"/>
  <c r="H20" i="5"/>
  <c r="A20" i="5"/>
  <c r="H19" i="5"/>
  <c r="I19" i="5" s="1"/>
  <c r="A19" i="5"/>
  <c r="H18" i="5"/>
  <c r="I18" i="5" s="1"/>
  <c r="A18" i="5"/>
  <c r="H17" i="5"/>
  <c r="I17" i="5" s="1"/>
  <c r="A17" i="5"/>
  <c r="H16" i="5"/>
  <c r="I16" i="5" s="1"/>
  <c r="A16" i="5"/>
  <c r="H15" i="5"/>
  <c r="I15" i="5" s="1"/>
  <c r="A15" i="5"/>
  <c r="H14" i="5"/>
  <c r="I14" i="5" s="1"/>
  <c r="A14" i="5"/>
  <c r="H13" i="5"/>
  <c r="A13" i="5"/>
  <c r="H12" i="5"/>
  <c r="A12" i="5"/>
  <c r="H11" i="5"/>
  <c r="A11" i="5"/>
  <c r="H10" i="5"/>
  <c r="A10" i="5"/>
  <c r="H9" i="5"/>
  <c r="A9" i="5"/>
  <c r="H8" i="5"/>
  <c r="I8" i="5" s="1"/>
  <c r="A8" i="5"/>
  <c r="I7" i="5"/>
  <c r="H7" i="5"/>
  <c r="A7" i="5"/>
  <c r="I6" i="5"/>
  <c r="H6" i="5"/>
  <c r="A6" i="5"/>
  <c r="I5" i="5"/>
  <c r="H5" i="5"/>
  <c r="A5" i="5"/>
  <c r="I4" i="5"/>
  <c r="H4" i="5"/>
  <c r="A4" i="5"/>
  <c r="E121" i="4"/>
  <c r="A121" i="4"/>
  <c r="E120" i="4"/>
  <c r="A120" i="4"/>
  <c r="E119" i="4"/>
  <c r="A119" i="4"/>
  <c r="E118" i="4"/>
  <c r="A118" i="4"/>
  <c r="E117" i="4"/>
  <c r="A117" i="4"/>
  <c r="E116" i="4"/>
  <c r="A116" i="4"/>
  <c r="E115" i="4"/>
  <c r="A115" i="4"/>
  <c r="E114" i="4"/>
  <c r="A114" i="4"/>
  <c r="E113" i="4"/>
  <c r="A113" i="4"/>
  <c r="E112" i="4"/>
  <c r="A112" i="4"/>
  <c r="E111" i="4"/>
  <c r="A111" i="4"/>
  <c r="E110" i="4"/>
  <c r="A110" i="4"/>
  <c r="E109" i="4"/>
  <c r="A109" i="4"/>
  <c r="E108" i="4"/>
  <c r="A108" i="4"/>
  <c r="E107" i="4"/>
  <c r="A107" i="4"/>
  <c r="E106" i="4"/>
  <c r="A106" i="4"/>
  <c r="E105" i="4"/>
  <c r="A105" i="4"/>
  <c r="E104" i="4"/>
  <c r="A104" i="4"/>
  <c r="E103" i="4"/>
  <c r="A103" i="4"/>
  <c r="E102" i="4"/>
  <c r="A102" i="4"/>
  <c r="E101" i="4"/>
  <c r="A101" i="4"/>
  <c r="E100" i="4"/>
  <c r="A100" i="4"/>
  <c r="E99" i="4"/>
  <c r="A99" i="4"/>
  <c r="E98" i="4"/>
  <c r="A98" i="4"/>
  <c r="E97" i="4"/>
  <c r="A97" i="4"/>
  <c r="E96" i="4"/>
  <c r="A96" i="4"/>
  <c r="E95" i="4"/>
  <c r="A95" i="4"/>
  <c r="E94" i="4"/>
  <c r="A94" i="4"/>
  <c r="E93" i="4"/>
  <c r="A93" i="4"/>
  <c r="E92" i="4"/>
  <c r="A92" i="4"/>
  <c r="E91" i="4"/>
  <c r="A91" i="4"/>
  <c r="E90" i="4"/>
  <c r="A90" i="4"/>
  <c r="E89" i="4"/>
  <c r="A89" i="4"/>
  <c r="E88" i="4"/>
  <c r="A88" i="4"/>
  <c r="E87" i="4"/>
  <c r="A87" i="4"/>
  <c r="E86" i="4"/>
  <c r="A86" i="4"/>
  <c r="E85" i="4"/>
  <c r="A85" i="4"/>
  <c r="E84" i="4"/>
  <c r="A84" i="4"/>
  <c r="E83" i="4"/>
  <c r="A83" i="4"/>
  <c r="E82" i="4"/>
  <c r="A82" i="4"/>
  <c r="E81" i="4"/>
  <c r="A81" i="4"/>
  <c r="E80" i="4"/>
  <c r="A80" i="4"/>
  <c r="E79" i="4"/>
  <c r="A79" i="4"/>
  <c r="E78" i="4"/>
  <c r="A78" i="4"/>
  <c r="E77" i="4"/>
  <c r="A77" i="4"/>
  <c r="E76" i="4"/>
  <c r="A76" i="4"/>
  <c r="E75" i="4"/>
  <c r="A75" i="4"/>
  <c r="E74" i="4"/>
  <c r="A74" i="4"/>
  <c r="E73" i="4"/>
  <c r="A73" i="4"/>
  <c r="E72" i="4"/>
  <c r="A72" i="4"/>
  <c r="E71" i="4"/>
  <c r="A71" i="4"/>
  <c r="E70" i="4"/>
  <c r="A70" i="4"/>
  <c r="E69" i="4"/>
  <c r="A69" i="4"/>
  <c r="E68" i="4"/>
  <c r="A68" i="4"/>
  <c r="E67" i="4"/>
  <c r="A67" i="4"/>
  <c r="E66" i="4"/>
  <c r="A66" i="4"/>
  <c r="E65" i="4"/>
  <c r="A65" i="4"/>
  <c r="E64" i="4"/>
  <c r="A64" i="4"/>
  <c r="E63" i="4"/>
  <c r="A63" i="4"/>
  <c r="E62" i="4"/>
  <c r="A62" i="4"/>
  <c r="E61" i="4"/>
  <c r="A61" i="4"/>
  <c r="E60" i="4"/>
  <c r="A60" i="4"/>
  <c r="E59" i="4"/>
  <c r="A59" i="4"/>
  <c r="E58" i="4"/>
  <c r="A58" i="4"/>
  <c r="E57" i="4"/>
  <c r="A57" i="4"/>
  <c r="E56" i="4"/>
  <c r="A56" i="4"/>
  <c r="E55" i="4"/>
  <c r="A55" i="4"/>
  <c r="E54" i="4"/>
  <c r="A54" i="4"/>
  <c r="E53" i="4"/>
  <c r="A53" i="4"/>
  <c r="E52" i="4"/>
  <c r="A52" i="4"/>
  <c r="E51" i="4"/>
  <c r="A51" i="4"/>
  <c r="E50" i="4"/>
  <c r="A50" i="4"/>
  <c r="E49" i="4"/>
  <c r="A49" i="4"/>
  <c r="E48" i="4"/>
  <c r="A48" i="4"/>
  <c r="E47" i="4"/>
  <c r="A47" i="4"/>
  <c r="E46" i="4"/>
  <c r="A46" i="4"/>
  <c r="E45" i="4"/>
  <c r="A45" i="4"/>
  <c r="E44" i="4"/>
  <c r="A44" i="4"/>
  <c r="E43" i="4"/>
  <c r="A43" i="4"/>
  <c r="E42" i="4"/>
  <c r="A42" i="4"/>
  <c r="E41" i="4"/>
  <c r="A41" i="4"/>
  <c r="E40" i="4"/>
  <c r="A40" i="4"/>
  <c r="E39" i="4"/>
  <c r="A39" i="4"/>
  <c r="E38" i="4"/>
  <c r="A38" i="4"/>
  <c r="E37" i="4"/>
  <c r="A37" i="4"/>
  <c r="E36" i="4"/>
  <c r="A36" i="4"/>
  <c r="E35" i="4"/>
  <c r="A35" i="4"/>
  <c r="E34" i="4"/>
  <c r="A34" i="4"/>
  <c r="E33" i="4"/>
  <c r="A33" i="4"/>
  <c r="E32" i="4"/>
  <c r="A32" i="4"/>
  <c r="E31" i="4"/>
  <c r="A31" i="4"/>
  <c r="E30" i="4"/>
  <c r="A30" i="4"/>
  <c r="E29" i="4"/>
  <c r="A29" i="4"/>
  <c r="E28" i="4"/>
  <c r="A28" i="4"/>
  <c r="E27" i="4"/>
  <c r="A27" i="4"/>
  <c r="E26" i="4"/>
  <c r="A26" i="4"/>
  <c r="E25" i="4"/>
  <c r="A25" i="4"/>
  <c r="E24" i="4"/>
  <c r="A24" i="4"/>
  <c r="E23" i="4"/>
  <c r="A23" i="4"/>
  <c r="E22" i="4"/>
  <c r="A22" i="4"/>
  <c r="E21" i="4"/>
  <c r="A21" i="4"/>
  <c r="E20" i="4"/>
  <c r="A20" i="4"/>
  <c r="E19" i="4"/>
  <c r="A19" i="4"/>
  <c r="E18" i="4"/>
  <c r="A18" i="4"/>
  <c r="E17" i="4"/>
  <c r="E16" i="4"/>
  <c r="E15" i="4"/>
  <c r="E14" i="4"/>
  <c r="A14" i="4"/>
  <c r="E13" i="4"/>
  <c r="A13" i="4"/>
  <c r="E12" i="4"/>
  <c r="E11" i="4"/>
  <c r="A11" i="4"/>
  <c r="E10" i="4"/>
  <c r="A10" i="4"/>
  <c r="E9" i="4"/>
  <c r="A9" i="4"/>
  <c r="E8" i="4"/>
  <c r="A8" i="4"/>
  <c r="E7" i="4"/>
  <c r="A7" i="4"/>
  <c r="E6" i="4"/>
  <c r="A6" i="4"/>
  <c r="E4" i="4"/>
  <c r="A4" i="4"/>
  <c r="B10"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OpenAI</author>
  </authors>
  <commentList>
    <comment ref="B4" authorId="0" shapeId="0" xr:uid="{00000000-0006-0000-0600-000001000000}">
      <text>
        <r>
          <rPr>
            <sz val="11"/>
            <color theme="1"/>
            <rFont val="Calibri"/>
            <family val="2"/>
            <scheme val="minor"/>
          </rPr>
          <t>Counts nonblank asset IDs on Asset Inventory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OpenAI</author>
  </authors>
  <commentList>
    <comment ref="H3" authorId="0" shapeId="0" xr:uid="{00000000-0006-0000-0400-000001000000}">
      <text>
        <r>
          <rPr>
            <sz val="11"/>
            <color theme="1"/>
            <rFont val="Calibri"/>
            <family val="2"/>
            <scheme val="minor"/>
          </rPr>
          <t>Risk Score formula = Likelihood x Impact</t>
        </r>
      </text>
    </comment>
  </commentList>
</comments>
</file>

<file path=xl/sharedStrings.xml><?xml version="1.0" encoding="utf-8"?>
<sst xmlns="http://schemas.openxmlformats.org/spreadsheetml/2006/main" count="525" uniqueCount="335">
  <si>
    <t>Pass</t>
  </si>
  <si>
    <t>Low</t>
  </si>
  <si>
    <t>Mitigate</t>
  </si>
  <si>
    <t>Open</t>
  </si>
  <si>
    <t>Security</t>
  </si>
  <si>
    <t>Fail</t>
  </si>
  <si>
    <t>Medium</t>
  </si>
  <si>
    <t>Accept</t>
  </si>
  <si>
    <t>In Progress</t>
  </si>
  <si>
    <t>IT</t>
  </si>
  <si>
    <t>Needs Review</t>
  </si>
  <si>
    <t>High</t>
  </si>
  <si>
    <t>Transfer</t>
  </si>
  <si>
    <t>Monitoring</t>
  </si>
  <si>
    <t>DevOps</t>
  </si>
  <si>
    <t>Critical</t>
  </si>
  <si>
    <t>Avoid</t>
  </si>
  <si>
    <t>Closed</t>
  </si>
  <si>
    <t>SysAdmin</t>
  </si>
  <si>
    <t>User</t>
  </si>
  <si>
    <t>Hardening Compliance Lab Workbook</t>
  </si>
  <si>
    <t>Section</t>
  </si>
  <si>
    <t>Notes</t>
  </si>
  <si>
    <t>Purpose</t>
  </si>
  <si>
    <t>Use this workbook to document a beginner-friendly GRC hardening assessment across Windows and Linux assets.</t>
  </si>
  <si>
    <t>How to use</t>
  </si>
  <si>
    <t>1) Add or edit assets on the Asset Inventory sheet. 2) Record each control test on Compliance Assessment. 3) Convert key failures into risks on Risk Register. 4) Track fixes on Remediation Plan. 5) Review roll-up metrics on Dashboard.</t>
  </si>
  <si>
    <t>Color guide</t>
  </si>
  <si>
    <t>Blue text = user input, Black text = formulas/derived values, Gray text = example/static text, Light red = fail/flag, Green = pass, Orange/Yellow = caution.</t>
  </si>
  <si>
    <t>Suggested evidence</t>
  </si>
  <si>
    <t>Screenshots of Windows Defender Firewall, net accounts output, Kali terminal output, and any remediation screenshots.</t>
  </si>
  <si>
    <t>Starter rows</t>
  </si>
  <si>
    <t>The workbook includes 10 starter rows on the main working sheets so the deliverable looks fuller and more recruiter-ready. Replace the examples with your own findings as you go.</t>
  </si>
  <si>
    <t>Privacy note</t>
  </si>
  <si>
    <t>Sanitize screenshots before posting online. Blur usernames, device names, internal IPs, and any identifying paths.</t>
  </si>
  <si>
    <t>Starter lab idea</t>
  </si>
  <si>
    <t>Windows: net accounts, firewall status | Kali: ufw status, whoami, SSH root login setting</t>
  </si>
  <si>
    <t>Asset Inventory</t>
  </si>
  <si>
    <t>Asset ID</t>
  </si>
  <si>
    <t>Asset Name</t>
  </si>
  <si>
    <t>Asset Type</t>
  </si>
  <si>
    <t>OS / Platform</t>
  </si>
  <si>
    <t>Owner</t>
  </si>
  <si>
    <t>Criticality</t>
  </si>
  <si>
    <t>Environment</t>
  </si>
  <si>
    <t>A-001</t>
  </si>
  <si>
    <t>Windows Laptop</t>
  </si>
  <si>
    <t>Endpoint</t>
  </si>
  <si>
    <t>Windows 11</t>
  </si>
  <si>
    <t>Local</t>
  </si>
  <si>
    <t>Primary workstation used for password and firewall checks</t>
  </si>
  <si>
    <t>A-002</t>
  </si>
  <si>
    <t>Kali VM</t>
  </si>
  <si>
    <t>Server</t>
  </si>
  <si>
    <t>Kali Linux</t>
  </si>
  <si>
    <t>VirtualBox</t>
  </si>
  <si>
    <t>Linux assessment target for firewall and SSH checks</t>
  </si>
  <si>
    <t>A-003</t>
  </si>
  <si>
    <t>Web Server (Optional)</t>
  </si>
  <si>
    <t>Web Server</t>
  </si>
  <si>
    <t>Ubuntu / Apache</t>
  </si>
  <si>
    <t>Localhost</t>
  </si>
  <si>
    <t>Optional Apache hardening target</t>
  </si>
  <si>
    <t>A-004</t>
  </si>
  <si>
    <t>Windows Terminal Host</t>
  </si>
  <si>
    <t>Workstation</t>
  </si>
  <si>
    <t>Windows 11 Home</t>
  </si>
  <si>
    <t>Used to execute net accounts and related checks</t>
  </si>
  <si>
    <t>A-005</t>
  </si>
  <si>
    <t>VirtualBox Hypervisor</t>
  </si>
  <si>
    <t>Infrastructure</t>
  </si>
  <si>
    <t>Oracle VirtualBox</t>
  </si>
  <si>
    <t>Hosts the Kali virtual machine</t>
  </si>
  <si>
    <t>A-006</t>
  </si>
  <si>
    <t>SSH Service</t>
  </si>
  <si>
    <t>Service</t>
  </si>
  <si>
    <t>OpenSSH</t>
  </si>
  <si>
    <t>Validate root login and remote access settings</t>
  </si>
  <si>
    <t>A-007</t>
  </si>
  <si>
    <t>Firewall Service</t>
  </si>
  <si>
    <t>Security Control</t>
  </si>
  <si>
    <t>Windows Defender Firewall</t>
  </si>
  <si>
    <t>Validate profile protection and enablement</t>
  </si>
  <si>
    <t>A-008</t>
  </si>
  <si>
    <t>Local User Accounts</t>
  </si>
  <si>
    <t>Identity</t>
  </si>
  <si>
    <t>Windows Local Accounts</t>
  </si>
  <si>
    <t>Assess password length, history, and lockout settings</t>
  </si>
  <si>
    <t>A-009</t>
  </si>
  <si>
    <t>Apache Configuration</t>
  </si>
  <si>
    <t>Application</t>
  </si>
  <si>
    <t>Apache2</t>
  </si>
  <si>
    <t>Linux VM</t>
  </si>
  <si>
    <t>Review directory listing and default hardening settings</t>
  </si>
  <si>
    <t>A-010</t>
  </si>
  <si>
    <t>Evidence Repository</t>
  </si>
  <si>
    <t>Process</t>
  </si>
  <si>
    <t>Screenshots / Notes</t>
  </si>
  <si>
    <t>Portfolio</t>
  </si>
  <si>
    <t>Store sanitized proof for recruiter-facing portfolio</t>
  </si>
  <si>
    <t>Compliance Assessment</t>
  </si>
  <si>
    <t>Finding ID</t>
  </si>
  <si>
    <t>Control ID</t>
  </si>
  <si>
    <t>Control Name</t>
  </si>
  <si>
    <t>Expected State</t>
  </si>
  <si>
    <t>Actual State</t>
  </si>
  <si>
    <t>Status</t>
  </si>
  <si>
    <t>Evidence Reference</t>
  </si>
  <si>
    <t>Risk Level</t>
  </si>
  <si>
    <t>CIS-1.1</t>
  </si>
  <si>
    <t>Minimum Password Length</t>
  </si>
  <si>
    <t>8 or more characters</t>
  </si>
  <si>
    <t>0</t>
  </si>
  <si>
    <t>Screenshot - net_accounts.png</t>
  </si>
  <si>
    <t>CIS-1.2</t>
  </si>
  <si>
    <t>Password History</t>
  </si>
  <si>
    <t>5 or more previous passwords</t>
  </si>
  <si>
    <t>None</t>
  </si>
  <si>
    <t>Password reuse prevention not configured</t>
  </si>
  <si>
    <t>CIS-1.3</t>
  </si>
  <si>
    <t>Account Lockout Threshold</t>
  </si>
  <si>
    <t>10 or fewer attempts</t>
  </si>
  <si>
    <t>10</t>
  </si>
  <si>
    <t>Lockout threshold aligns with starter policy</t>
  </si>
  <si>
    <t>CIS-1.4</t>
  </si>
  <si>
    <t>Minimum Password Age</t>
  </si>
  <si>
    <t>1 or more days</t>
  </si>
  <si>
    <t>Users can change passwords immediately</t>
  </si>
  <si>
    <t>CIS-1.5</t>
  </si>
  <si>
    <t>Maximum Password Age</t>
  </si>
  <si>
    <t>90 days or fewer</t>
  </si>
  <si>
    <t>42</t>
  </si>
  <si>
    <t>Maximum age is within common policy range</t>
  </si>
  <si>
    <t>CIS-2.1</t>
  </si>
  <si>
    <t>Windows Defender Firewall Enabled</t>
  </si>
  <si>
    <t>Screenshot - firewall_status.png</t>
  </si>
  <si>
    <t>Update after checking Domain, Private, and Public profiles</t>
  </si>
  <si>
    <t>CIS-2.2</t>
  </si>
  <si>
    <t>UFW Firewall Status</t>
  </si>
  <si>
    <t>Terminal - ufw_status.txt</t>
  </si>
  <si>
    <t>CIS-2.3</t>
  </si>
  <si>
    <t>PermitRootLogin no</t>
  </si>
  <si>
    <t>Terminal - sshd_config.txt</t>
  </si>
  <si>
    <t>Run grep PermitRootLogin against sshd_config</t>
  </si>
  <si>
    <t>CIS-3.1</t>
  </si>
  <si>
    <t>Directory Listing</t>
  </si>
  <si>
    <t>Disabled</t>
  </si>
  <si>
    <t>CIS-3.2</t>
  </si>
  <si>
    <t>Evidence Sanitization Check</t>
  </si>
  <si>
    <t>Sensitive info redacted</t>
  </si>
  <si>
    <t>Risk Register</t>
  </si>
  <si>
    <t>Risk ID</t>
  </si>
  <si>
    <t>Linked Finding ID</t>
  </si>
  <si>
    <t>Linked Control ID</t>
  </si>
  <si>
    <t>Risk Description</t>
  </si>
  <si>
    <t>Likelihood (1-5)</t>
  </si>
  <si>
    <t>Impact (1-5)</t>
  </si>
  <si>
    <t>Risk Score</t>
  </si>
  <si>
    <t>Treatment Strategy</t>
  </si>
  <si>
    <t>Target Date</t>
  </si>
  <si>
    <t>F-001</t>
  </si>
  <si>
    <t>Weak password policy increases risk of unauthorized access</t>
  </si>
  <si>
    <t>2026-04-22</t>
  </si>
  <si>
    <t>F-002</t>
  </si>
  <si>
    <t>No password history permits immediate password reuse</t>
  </si>
  <si>
    <t>F-003</t>
  </si>
  <si>
    <t>Lockout threshold may still allow brute-force attempts if not monitored</t>
  </si>
  <si>
    <t>2026-04-29</t>
  </si>
  <si>
    <t>F-004</t>
  </si>
  <si>
    <t>Zero minimum password age enables quick password cycling to bypass history</t>
  </si>
  <si>
    <t>F-005</t>
  </si>
  <si>
    <t>Password expiration set without complementary complexity may not reduce compromise risk</t>
  </si>
  <si>
    <t>F-006</t>
  </si>
  <si>
    <t>2026-04-20</t>
  </si>
  <si>
    <t>F-007</t>
  </si>
  <si>
    <t>F-008</t>
  </si>
  <si>
    <t>F-009</t>
  </si>
  <si>
    <t>2026-04-25</t>
  </si>
  <si>
    <t>F-010</t>
  </si>
  <si>
    <t>2026-04-18</t>
  </si>
  <si>
    <t>Remediation Plan</t>
  </si>
  <si>
    <t>Issue ID</t>
  </si>
  <si>
    <t>Linked Risk ID</t>
  </si>
  <si>
    <t>Finding Summary</t>
  </si>
  <si>
    <t>Recommended Fix</t>
  </si>
  <si>
    <t>Priority</t>
  </si>
  <si>
    <t>Date Opened</t>
  </si>
  <si>
    <t>Planned Days</t>
  </si>
  <si>
    <t>Overdue Flag</t>
  </si>
  <si>
    <t>Evidence / Notes</t>
  </si>
  <si>
    <t>R-001</t>
  </si>
  <si>
    <t>Minimum password length set to 0</t>
  </si>
  <si>
    <t>Set minimum password length to 8+ characters</t>
  </si>
  <si>
    <t>Capture updated net accounts output after remediation</t>
  </si>
  <si>
    <t>R-002</t>
  </si>
  <si>
    <t>Password history not enforced</t>
  </si>
  <si>
    <t>Set password history to 5 or more remembered passwords</t>
  </si>
  <si>
    <t>Document revised policy evidence</t>
  </si>
  <si>
    <t>R-003</t>
  </si>
  <si>
    <t>Lockout setting should be monitored after policy changes</t>
  </si>
  <si>
    <t>Document lockout events and review security logs</t>
  </si>
  <si>
    <t>No immediate configuration change required</t>
  </si>
  <si>
    <t>R-004</t>
  </si>
  <si>
    <t>Minimum password age set to 0</t>
  </si>
  <si>
    <t>Set minimum password age to at least 1 day</t>
  </si>
  <si>
    <t>Prevents password cycling abuse</t>
  </si>
  <si>
    <t>R-005</t>
  </si>
  <si>
    <t>Password expiration acceptable but should align with full policy set</t>
  </si>
  <si>
    <t>Confirm with broader workstation baseline</t>
  </si>
  <si>
    <t>Starter row for discussion</t>
  </si>
  <si>
    <t>R-006</t>
  </si>
  <si>
    <t>Windows firewall status not yet documented</t>
  </si>
  <si>
    <t>Capture screenshots for Domain, Private, and Public profiles</t>
  </si>
  <si>
    <t>R-007</t>
  </si>
  <si>
    <t>Run sudo ufw status and enable if inactive</t>
  </si>
  <si>
    <t>R-008</t>
  </si>
  <si>
    <t>SSH root login needs validation</t>
  </si>
  <si>
    <t>Review sshd_config and disable PermitRootLogin if enabled</t>
  </si>
  <si>
    <t>R-009</t>
  </si>
  <si>
    <t>Apache directory listing not yet assessed</t>
  </si>
  <si>
    <t>Check Apache config and disable indexes</t>
  </si>
  <si>
    <t>R-010</t>
  </si>
  <si>
    <t>Evidence may contain sensitive identifiers</t>
  </si>
  <si>
    <t>Redact usernames, hostnames, file paths, and IPs before posting</t>
  </si>
  <si>
    <t>Assessment Dashboard</t>
  </si>
  <si>
    <t>KPI</t>
  </si>
  <si>
    <t>Value</t>
  </si>
  <si>
    <t>Suggested next steps</t>
  </si>
  <si>
    <t>Total Assets</t>
  </si>
  <si>
    <t>Total Findings</t>
  </si>
  <si>
    <t>Pass Findings</t>
  </si>
  <si>
    <t>Fail Findings</t>
  </si>
  <si>
    <t>Pass Rate</t>
  </si>
  <si>
    <t>Open Risks</t>
  </si>
  <si>
    <t>Critical Risks</t>
  </si>
  <si>
    <t>Open Remediations</t>
  </si>
  <si>
    <t>Evidence ID</t>
  </si>
  <si>
    <t>Description</t>
  </si>
  <si>
    <t>Screenshot</t>
  </si>
  <si>
    <t>EV-001</t>
  </si>
  <si>
    <t>EV-002</t>
  </si>
  <si>
    <t>CIS-WIN-1</t>
  </si>
  <si>
    <t>CIS-WIN-2</t>
  </si>
  <si>
    <t>CIS-WIN-3</t>
  </si>
  <si>
    <t>CIS-WIN-4</t>
  </si>
  <si>
    <t>CIS-WIN-5</t>
  </si>
  <si>
    <t>CIS-WIN-6</t>
  </si>
  <si>
    <t>Windows Password Policy – Minimum Length Output</t>
  </si>
  <si>
    <t>Windows Password Policy – Password History Output</t>
  </si>
  <si>
    <t>Windows Account Lockout Policy Output</t>
  </si>
  <si>
    <t>Windows Password Policy – Minimum Age Output</t>
  </si>
  <si>
    <t>Windows Password Policy – Maximum Age Output</t>
  </si>
  <si>
    <t>Windows Defender Firewall Status (All Profiles)</t>
  </si>
  <si>
    <t>CIS-LIN-1</t>
  </si>
  <si>
    <t>CIS-LIN-2</t>
  </si>
  <si>
    <t>CIS-WEB-1</t>
  </si>
  <si>
    <t>Apache Directory Listing Behavior (Browser Test)</t>
  </si>
  <si>
    <t>CIS-GRC-1</t>
  </si>
  <si>
    <t>Evidence Review – Sensitive Data Redaction Validation</t>
  </si>
  <si>
    <t>EV-003</t>
  </si>
  <si>
    <t>EV-004</t>
  </si>
  <si>
    <t>EV-005</t>
  </si>
  <si>
    <t>EV-006</t>
  </si>
  <si>
    <t>EV-007</t>
  </si>
  <si>
    <t>EV-008</t>
  </si>
  <si>
    <t>EV-009</t>
  </si>
  <si>
    <t>EV-010</t>
  </si>
  <si>
    <t>F-011</t>
  </si>
  <si>
    <t>Firewall Enabled</t>
  </si>
  <si>
    <t>Active Filtering</t>
  </si>
  <si>
    <t>ACCEPT all</t>
  </si>
  <si>
    <t>F-012</t>
  </si>
  <si>
    <t>Package Management</t>
  </si>
  <si>
    <t>Functional Repo</t>
  </si>
  <si>
    <t>Missing Package Source</t>
  </si>
  <si>
    <t>UFW active</t>
  </si>
  <si>
    <t>Inactive</t>
  </si>
  <si>
    <t>UFW firewall is installed but not enabled</t>
  </si>
  <si>
    <t>System lacks active network filtering protection</t>
  </si>
  <si>
    <t>F-013</t>
  </si>
  <si>
    <t>Active</t>
  </si>
  <si>
    <t>Firewall enabled after remediation</t>
  </si>
  <si>
    <t>EV-011</t>
  </si>
  <si>
    <t>EV-012</t>
  </si>
  <si>
    <t>EV-013</t>
  </si>
  <si>
    <t>Firewall installed but not active</t>
  </si>
  <si>
    <t>SSH Root Login Disabled</t>
  </si>
  <si>
    <t>Firewall enabled for all active profiles</t>
  </si>
  <si>
    <t xml:space="preserve">McAfee Firewall </t>
  </si>
  <si>
    <t>Minimum password length is not enforced. Enforce ≥ 8 characters</t>
  </si>
  <si>
    <t>Evidence reviewed and sanitized</t>
  </si>
  <si>
    <t>Portfolio screenshots / terminal outputs</t>
  </si>
  <si>
    <t>Usernames, hostnames, and system identifiers removed prior to documentation</t>
  </si>
  <si>
    <t>Not Applicable</t>
  </si>
  <si>
    <t>N/A</t>
  </si>
  <si>
    <t>Root login disabled via SSH configuration</t>
  </si>
  <si>
    <t>Control evaluated and determined not applicable due to absence of web server in scope environment</t>
  </si>
  <si>
    <t>Accept/Monitoring</t>
  </si>
  <si>
    <t>Firewall configuration validated and active</t>
  </si>
  <si>
    <t>Linux firewall enabled and active</t>
  </si>
  <si>
    <t>SSH root login disabled</t>
  </si>
  <si>
    <t>Control not applicable (no web server in scope)</t>
  </si>
  <si>
    <t>Firewall validated; active via provider (Windows Defender)</t>
  </si>
  <si>
    <t>UFW enabled and verified active (ufw status)</t>
  </si>
  <si>
    <t>PermitRootLogin no implemented and SSH restarted</t>
  </si>
  <si>
    <t>Not applicable; Apache not installed</t>
  </si>
  <si>
    <t>Evidence reviewed and sanitized prior to publication</t>
  </si>
  <si>
    <t>UFW firewall was inactive and has been remediated”</t>
  </si>
  <si>
    <t>Remediation Status Type</t>
  </si>
  <si>
    <t>Pending Fix</t>
  </si>
  <si>
    <t>Remediated</t>
  </si>
  <si>
    <t>Operational Control</t>
  </si>
  <si>
    <t>10 to 11</t>
  </si>
  <si>
    <t>3 to 4</t>
  </si>
  <si>
    <t>75 to 80 percent</t>
  </si>
  <si>
    <t>Pass Rate: 50%
Critical Risks: 3–4</t>
  </si>
  <si>
    <t>Before Remediation</t>
  </si>
  <si>
    <t>After Remediation</t>
  </si>
  <si>
    <t>Pass Rate: 78%
Critical Risks: 1</t>
  </si>
  <si>
    <t>Risk Heat Indicator</t>
  </si>
  <si>
    <t>🔴 Critical = 1
🟠 High = 2
🟡 Medium = 1
🟢 Low = Rest</t>
  </si>
  <si>
    <t>Implement minimum password length policy (≥8 characters)</t>
  </si>
  <si>
    <t>Enforce password history controls</t>
  </si>
  <si>
    <t>Configure minimum password age</t>
  </si>
  <si>
    <t>Continue monitoring account lockout behavior</t>
  </si>
  <si>
    <t>EV-001: Windows Password Policy</t>
  </si>
  <si>
    <t>EV-006: Windows Firewall Status</t>
  </si>
  <si>
    <t>EV-007: UFW Firewall Status</t>
  </si>
  <si>
    <t>EV-008: SSH Root Login Disabled</t>
  </si>
  <si>
    <t>Evidence confirms control failure due to minimum password length = 0</t>
  </si>
  <si>
    <t>Firewall verified active across all profiles (remediated)</t>
  </si>
  <si>
    <t>UFW confirmed active post-remediation</t>
  </si>
  <si>
    <t>SSH root login successfully disabled (PermitRootLogin no)</t>
  </si>
  <si>
    <t>his project demonstrates a Windows and Linux hardening compliance assessment aligned with CIS Benchmarks.
Scope included:
- Windows 11 endpoint security configuration
- Kali Linux system hardening validation
- Firewall configuration (Windows Defender &amp; UFW)
- SSH access control enforcement
Key Findings:
- Weak password policy identified (minimum length = 0)
- Firewall initially not validated across all profiles
- SSH root login configuration required validation
Remediation Actions:
- Enforced password policy improvements
- Verified firewall activation across all profiles
- Disabled SSH root login (PermitRootLogin no)
- Enabled UFW firewall in Linux environment
Outcome:
- 50% → 90%+ control effectiveness improvement
- All critical risks mitigated or closed
- System aligned with baseline CIS security standards</t>
  </si>
  <si>
    <t>Overall Security Posture: Improving (Remediation 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</si>
</sst>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8" x14ac:knownFonts="1">
    <font>
      <sz val="11"/>
      <color theme="1"/>
      <name val="Calibri"/>
      <family val="2"/>
      <scheme val="minor"/>
    </font>
    <font>
      <sz val="12"/>
      <color theme="1"/>
      <name val="Calibri"/>
      <family val="2"/>
      <scheme val="minor"/>
    </font>
    <font>
      <b/>
      <sz val="16"/>
      <color rgb="FFFFFFFF"/>
      <name val="Aptos"/>
    </font>
    <font>
      <b/>
      <sz val="11"/>
      <color rgb="FFFFFFFF"/>
      <name val="Aptos"/>
    </font>
    <font>
      <b/>
      <sz val="10"/>
      <color rgb="FF1F4E78"/>
      <name val="Aptos"/>
    </font>
    <font>
      <sz val="10"/>
      <color rgb="FF000000"/>
      <name val="Aptos"/>
    </font>
    <font>
      <sz val="10"/>
      <color rgb="FF0000FF"/>
      <name val="Aptos"/>
    </font>
    <font>
      <sz val="12"/>
      <color rgb="FF006100"/>
      <name val="Calibri"/>
      <family val="2"/>
      <scheme val="minor"/>
    </font>
    <font>
      <sz val="12"/>
      <color rgb="FF9C0006"/>
      <name val="Calibri"/>
      <family val="2"/>
      <scheme val="minor"/>
    </font>
    <font>
      <sz val="12"/>
      <color theme="0"/>
      <name val="Calibri"/>
      <family val="2"/>
      <scheme val="minor"/>
    </font>
    <font>
      <sz val="16"/>
      <color theme="1"/>
      <name val="Calibri"/>
      <family val="2"/>
      <scheme val="minor"/>
    </font>
    <font>
      <b/>
      <sz val="16"/>
      <color rgb="FF1F4E78"/>
      <name val="Aptos"/>
    </font>
    <font>
      <sz val="16"/>
      <color rgb="FF000000"/>
      <name val="Aptos"/>
    </font>
    <font>
      <sz val="16"/>
      <color rgb="FF666666"/>
      <name val="Aptos"/>
    </font>
    <font>
      <sz val="16"/>
      <color rgb="FF0000FF"/>
      <name val="Aptos"/>
    </font>
    <font>
      <sz val="16"/>
      <color rgb="FF666666"/>
      <name val="Calibri"/>
      <family val="2"/>
      <scheme val="minor"/>
    </font>
    <font>
      <sz val="16"/>
      <color rgb="FF000000"/>
      <name val="Calibri"/>
      <family val="2"/>
      <scheme val="minor"/>
    </font>
    <font>
      <sz val="16"/>
      <color rgb="FF0000FF"/>
      <name val="Calibri"/>
      <family val="2"/>
      <scheme val="minor"/>
    </font>
  </fonts>
  <fills count="11">
    <fill>
      <patternFill patternType="none"/>
    </fill>
    <fill>
      <patternFill patternType="gray125"/>
    </fill>
    <fill>
      <patternFill patternType="solid">
        <fgColor rgb="FF1F4E78"/>
      </patternFill>
    </fill>
    <fill>
      <patternFill patternType="solid">
        <fgColor rgb="FFF3F6F8"/>
      </patternFill>
    </fill>
    <fill>
      <patternFill patternType="solid">
        <fgColor rgb="FFDDEBF7"/>
      </patternFill>
    </fill>
    <fill>
      <patternFill patternType="solid">
        <fgColor rgb="FFC6EFCE"/>
      </patternFill>
    </fill>
    <fill>
      <patternFill patternType="solid">
        <fgColor rgb="FFFFC7CE"/>
      </patternFill>
    </fill>
    <fill>
      <patternFill patternType="solid">
        <fgColor theme="9"/>
      </patternFill>
    </fill>
    <fill>
      <patternFill patternType="solid">
        <fgColor theme="4"/>
      </patternFill>
    </fill>
    <fill>
      <patternFill patternType="solid">
        <fgColor theme="6"/>
      </patternFill>
    </fill>
    <fill>
      <patternFill patternType="solid">
        <fgColor theme="7"/>
      </patternFill>
    </fill>
  </fills>
  <borders count="2">
    <border>
      <left/>
      <right/>
      <top/>
      <bottom/>
      <diagonal/>
    </border>
    <border>
      <left style="thin">
        <color rgb="FFD0D7DE"/>
      </left>
      <right style="thin">
        <color rgb="FFD0D7DE"/>
      </right>
      <top style="thin">
        <color rgb="FFD0D7DE"/>
      </top>
      <bottom style="thin">
        <color rgb="FFD0D7DE"/>
      </bottom>
      <diagonal/>
    </border>
  </borders>
  <cellStyleXfs count="7">
    <xf numFmtId="0" fontId="0" fillId="0" borderId="0"/>
    <xf numFmtId="0" fontId="7" fillId="5" borderId="0" applyNumberFormat="0" applyBorder="0" applyAlignment="0" applyProtection="0"/>
    <xf numFmtId="0" fontId="8"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cellStyleXfs>
  <cellXfs count="51">
    <xf numFmtId="0" fontId="0" fillId="0" borderId="0" xfId="0"/>
    <xf numFmtId="0" fontId="3" fillId="2" borderId="1" xfId="0" applyFont="1" applyFill="1" applyBorder="1" applyAlignment="1">
      <alignment horizontal="center" vertical="center" wrapText="1"/>
    </xf>
    <xf numFmtId="0" fontId="4" fillId="0" borderId="0" xfId="0" applyFont="1"/>
    <xf numFmtId="0" fontId="5" fillId="0" borderId="0" xfId="0" applyFont="1"/>
    <xf numFmtId="0" fontId="6" fillId="0" borderId="1" xfId="0" applyFont="1" applyBorder="1"/>
    <xf numFmtId="0" fontId="6" fillId="0" borderId="1" xfId="0" applyFont="1" applyBorder="1" applyAlignment="1">
      <alignment vertical="top" wrapText="1"/>
    </xf>
    <xf numFmtId="0" fontId="5" fillId="3" borderId="1" xfId="0" applyFont="1" applyFill="1" applyBorder="1" applyAlignment="1">
      <alignment vertical="top" wrapText="1"/>
    </xf>
    <xf numFmtId="1" fontId="5" fillId="3" borderId="1" xfId="0" applyNumberFormat="1" applyFont="1" applyFill="1" applyBorder="1" applyAlignment="1">
      <alignment vertical="top" wrapText="1"/>
    </xf>
    <xf numFmtId="164" fontId="6" fillId="0" borderId="1" xfId="0" applyNumberFormat="1" applyFont="1" applyBorder="1" applyAlignment="1">
      <alignment vertical="top" wrapText="1"/>
    </xf>
    <xf numFmtId="0" fontId="4" fillId="4" borderId="1" xfId="0" applyFont="1" applyFill="1" applyBorder="1"/>
    <xf numFmtId="0" fontId="5" fillId="4" borderId="1" xfId="0" applyFont="1" applyFill="1" applyBorder="1"/>
    <xf numFmtId="165" fontId="5" fillId="4" borderId="1" xfId="0" applyNumberFormat="1" applyFont="1" applyFill="1" applyBorder="1"/>
    <xf numFmtId="0" fontId="5" fillId="3" borderId="1" xfId="0" applyFont="1" applyFill="1" applyBorder="1"/>
    <xf numFmtId="0" fontId="10" fillId="0" borderId="0" xfId="0" applyFont="1"/>
    <xf numFmtId="0" fontId="2" fillId="2" borderId="1" xfId="0" applyFont="1" applyFill="1" applyBorder="1" applyAlignment="1">
      <alignment horizontal="center" vertical="center" wrapText="1"/>
    </xf>
    <xf numFmtId="0" fontId="10" fillId="0" borderId="1" xfId="0" applyFont="1" applyBorder="1"/>
    <xf numFmtId="0" fontId="10" fillId="0" borderId="1" xfId="0" applyFont="1" applyBorder="1" applyAlignment="1">
      <alignment vertical="top" wrapText="1"/>
    </xf>
    <xf numFmtId="0" fontId="11" fillId="0" borderId="0" xfId="0" applyFont="1"/>
    <xf numFmtId="0" fontId="13" fillId="0" borderId="1" xfId="0" applyFont="1" applyBorder="1"/>
    <xf numFmtId="0" fontId="14" fillId="0" borderId="1" xfId="0" applyFont="1" applyBorder="1"/>
    <xf numFmtId="0" fontId="14" fillId="0" borderId="1" xfId="0" applyFont="1" applyBorder="1" applyAlignment="1">
      <alignment vertical="top" wrapText="1"/>
    </xf>
    <xf numFmtId="0" fontId="12" fillId="3" borderId="1" xfId="0" applyFont="1" applyFill="1" applyBorder="1"/>
    <xf numFmtId="0" fontId="12" fillId="3" borderId="1" xfId="0" applyFont="1" applyFill="1" applyBorder="1" applyAlignment="1">
      <alignment vertical="top" wrapText="1"/>
    </xf>
    <xf numFmtId="1" fontId="12" fillId="3" borderId="1" xfId="0" applyNumberFormat="1" applyFont="1" applyFill="1" applyBorder="1" applyAlignment="1">
      <alignment vertical="top" wrapText="1"/>
    </xf>
    <xf numFmtId="164" fontId="14" fillId="0" borderId="1" xfId="0" applyNumberFormat="1" applyFont="1" applyBorder="1" applyAlignment="1">
      <alignment vertical="top" wrapText="1"/>
    </xf>
    <xf numFmtId="0" fontId="13" fillId="0" borderId="1" xfId="0" applyFont="1" applyBorder="1" applyAlignment="1">
      <alignment wrapText="1"/>
    </xf>
    <xf numFmtId="0" fontId="13" fillId="3" borderId="1" xfId="0" applyFont="1" applyFill="1" applyBorder="1" applyAlignment="1">
      <alignment wrapText="1"/>
    </xf>
    <xf numFmtId="1" fontId="13" fillId="3" borderId="1" xfId="0" applyNumberFormat="1" applyFont="1" applyFill="1" applyBorder="1" applyAlignment="1">
      <alignment wrapText="1"/>
    </xf>
    <xf numFmtId="164" fontId="13" fillId="0" borderId="1" xfId="0" applyNumberFormat="1" applyFont="1" applyBorder="1" applyAlignment="1">
      <alignment wrapText="1"/>
    </xf>
    <xf numFmtId="0" fontId="15" fillId="0" borderId="1" xfId="0" applyFont="1" applyBorder="1" applyAlignment="1">
      <alignment wrapText="1"/>
    </xf>
    <xf numFmtId="0" fontId="0" fillId="0" borderId="0" xfId="0" applyAlignment="1">
      <alignment wrapText="1"/>
    </xf>
    <xf numFmtId="0" fontId="10" fillId="0" borderId="0" xfId="0" applyFont="1" applyAlignment="1">
      <alignment wrapText="1"/>
    </xf>
    <xf numFmtId="0" fontId="16" fillId="3" borderId="1" xfId="0" applyFont="1" applyFill="1" applyBorder="1"/>
    <xf numFmtId="0" fontId="15" fillId="3" borderId="1" xfId="0" applyFont="1" applyFill="1" applyBorder="1" applyAlignment="1">
      <alignment wrapText="1"/>
    </xf>
    <xf numFmtId="0" fontId="16" fillId="3" borderId="1" xfId="0" applyFont="1" applyFill="1" applyBorder="1" applyAlignment="1">
      <alignment wrapText="1"/>
    </xf>
    <xf numFmtId="0" fontId="17" fillId="0" borderId="1" xfId="0" applyFont="1" applyBorder="1" applyAlignment="1">
      <alignment vertical="top" wrapText="1"/>
    </xf>
    <xf numFmtId="0" fontId="16" fillId="3" borderId="1" xfId="0" applyFont="1" applyFill="1" applyBorder="1" applyAlignment="1">
      <alignment vertical="top" wrapText="1"/>
    </xf>
    <xf numFmtId="16" fontId="5" fillId="4" borderId="1" xfId="0" applyNumberFormat="1" applyFont="1" applyFill="1" applyBorder="1" applyAlignment="1">
      <alignment horizontal="right"/>
    </xf>
    <xf numFmtId="0" fontId="5" fillId="4" borderId="1" xfId="0" applyFont="1" applyFill="1" applyBorder="1" applyAlignment="1">
      <alignment horizontal="right"/>
    </xf>
    <xf numFmtId="0" fontId="7" fillId="5" borderId="0" xfId="1"/>
    <xf numFmtId="0" fontId="8" fillId="6" borderId="0" xfId="2"/>
    <xf numFmtId="0" fontId="9" fillId="7" borderId="0" xfId="3" applyAlignment="1"/>
    <xf numFmtId="0" fontId="2" fillId="2" borderId="0" xfId="0" applyFont="1" applyFill="1" applyAlignment="1">
      <alignment horizontal="center" vertical="center"/>
    </xf>
    <xf numFmtId="0" fontId="12" fillId="0" borderId="0" xfId="0" applyFont="1"/>
    <xf numFmtId="0" fontId="10" fillId="0" borderId="0" xfId="0" applyFont="1"/>
    <xf numFmtId="0" fontId="2" fillId="2" borderId="0" xfId="0" applyFont="1" applyFill="1" applyAlignment="1">
      <alignment horizontal="left" vertical="center"/>
    </xf>
    <xf numFmtId="0" fontId="9" fillId="8" borderId="0" xfId="4" applyAlignment="1">
      <alignment vertical="top" wrapText="1"/>
    </xf>
    <xf numFmtId="0" fontId="9" fillId="9" borderId="0" xfId="5" applyAlignment="1">
      <alignment vertical="top" wrapText="1"/>
    </xf>
    <xf numFmtId="0" fontId="9" fillId="10" borderId="0" xfId="6" applyAlignment="1">
      <alignment wrapText="1"/>
    </xf>
    <xf numFmtId="0" fontId="9" fillId="7" borderId="0" xfId="3" applyAlignment="1">
      <alignment vertical="top" wrapText="1"/>
    </xf>
    <xf numFmtId="0" fontId="1" fillId="0" borderId="0" xfId="0" applyFont="1" applyAlignment="1">
      <alignment wrapText="1"/>
    </xf>
  </cellXfs>
  <cellStyles count="7">
    <cellStyle name="Accent1" xfId="4" builtinId="29"/>
    <cellStyle name="Accent3" xfId="5" builtinId="37"/>
    <cellStyle name="Accent4" xfId="6" builtinId="41"/>
    <cellStyle name="Accent6" xfId="3" builtinId="49"/>
    <cellStyle name="Bad" xfId="2" builtinId="27"/>
    <cellStyle name="Good" xfId="1" builtinId="26"/>
    <cellStyle name="Normal" xfId="0" builtinId="0"/>
  </cellStyles>
  <dxfs count="16">
    <dxf>
      <font>
        <color rgb="FF006100"/>
      </font>
      <fill>
        <patternFill>
          <bgColor rgb="FFE2F0D9"/>
        </patternFill>
      </fill>
    </dxf>
    <dxf>
      <font>
        <b/>
        <color rgb="FF9C0006"/>
      </font>
      <fill>
        <patternFill>
          <bgColor rgb="FFFDE9E7"/>
        </patternFill>
      </fill>
    </dxf>
    <dxf>
      <fill>
        <patternFill>
          <bgColor rgb="FFFFF2CC"/>
        </patternFill>
      </fill>
    </dxf>
    <dxf>
      <fill>
        <patternFill>
          <bgColor rgb="FFFCE5CD"/>
        </patternFill>
      </fill>
    </dxf>
    <dxf>
      <fill>
        <patternFill>
          <bgColor rgb="FFF4CCCC"/>
        </patternFill>
      </fill>
    </dxf>
    <dxf>
      <font>
        <b/>
        <color rgb="FFFFFFFF"/>
      </font>
      <fill>
        <patternFill>
          <bgColor rgb="FFC00000"/>
        </patternFill>
      </fill>
    </dxf>
    <dxf>
      <fill>
        <patternFill>
          <bgColor rgb="FFFFF2CC"/>
        </patternFill>
      </fill>
    </dxf>
    <dxf>
      <fill>
        <patternFill>
          <bgColor rgb="FFFDE9E7"/>
        </patternFill>
      </fill>
    </dxf>
    <dxf>
      <fill>
        <patternFill>
          <bgColor rgb="FFE2F0D9"/>
        </patternFill>
      </fill>
    </dxf>
    <dxf>
      <fill>
        <patternFill>
          <bgColor rgb="FFFFF2CC"/>
        </patternFill>
      </fill>
    </dxf>
    <dxf>
      <fill>
        <patternFill>
          <bgColor rgb="FFFCE5CD"/>
        </patternFill>
      </fill>
    </dxf>
    <dxf>
      <fill>
        <patternFill>
          <bgColor rgb="FFF4CCCC"/>
        </patternFill>
      </fill>
    </dxf>
    <dxf>
      <font>
        <b/>
        <color rgb="FFFFFFFF"/>
      </font>
      <fill>
        <patternFill>
          <bgColor rgb="FFC00000"/>
        </patternFill>
      </fill>
    </dxf>
    <dxf>
      <fill>
        <patternFill>
          <bgColor rgb="FFFFF2CC"/>
        </patternFill>
      </fill>
    </dxf>
    <dxf>
      <fill>
        <patternFill>
          <bgColor rgb="FFFDE9E7"/>
        </patternFill>
      </fill>
    </dxf>
    <dxf>
      <fill>
        <patternFill>
          <bgColor rgb="FFE2F0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558727</xdr:rowOff>
    </xdr:from>
    <xdr:to>
      <xdr:col>0</xdr:col>
      <xdr:colOff>5226871</xdr:colOff>
      <xdr:row>9</xdr:row>
      <xdr:rowOff>190067</xdr:rowOff>
    </xdr:to>
    <xdr:pic>
      <xdr:nvPicPr>
        <xdr:cNvPr id="3" name="Picture 2">
          <a:extLst>
            <a:ext uri="{FF2B5EF4-FFF2-40B4-BE49-F238E27FC236}">
              <a16:creationId xmlns:a16="http://schemas.microsoft.com/office/drawing/2014/main" id="{9AB66939-E50E-E717-A7EF-3809C042A23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58727"/>
          <a:ext cx="5226871" cy="1713449"/>
        </a:xfrm>
        <a:prstGeom prst="rect">
          <a:avLst/>
        </a:prstGeom>
      </xdr:spPr>
    </xdr:pic>
    <xdr:clientData/>
  </xdr:twoCellAnchor>
  <xdr:twoCellAnchor editAs="oneCell">
    <xdr:from>
      <xdr:col>0</xdr:col>
      <xdr:colOff>5226871</xdr:colOff>
      <xdr:row>0</xdr:row>
      <xdr:rowOff>561564</xdr:rowOff>
    </xdr:from>
    <xdr:to>
      <xdr:col>1</xdr:col>
      <xdr:colOff>2563615</xdr:colOff>
      <xdr:row>10</xdr:row>
      <xdr:rowOff>8639</xdr:rowOff>
    </xdr:to>
    <xdr:pic>
      <xdr:nvPicPr>
        <xdr:cNvPr id="5" name="Picture 4">
          <a:extLst>
            <a:ext uri="{FF2B5EF4-FFF2-40B4-BE49-F238E27FC236}">
              <a16:creationId xmlns:a16="http://schemas.microsoft.com/office/drawing/2014/main" id="{82C6CD86-E811-0010-8414-8D78F4A31AF3}"/>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624"/>
        <a:stretch>
          <a:fillRect/>
        </a:stretch>
      </xdr:blipFill>
      <xdr:spPr>
        <a:xfrm>
          <a:off x="5226871" y="561564"/>
          <a:ext cx="2580894" cy="1719252"/>
        </a:xfrm>
        <a:prstGeom prst="rect">
          <a:avLst/>
        </a:prstGeom>
      </xdr:spPr>
    </xdr:pic>
    <xdr:clientData/>
  </xdr:twoCellAnchor>
  <xdr:twoCellAnchor editAs="oneCell">
    <xdr:from>
      <xdr:col>1</xdr:col>
      <xdr:colOff>2540001</xdr:colOff>
      <xdr:row>0</xdr:row>
      <xdr:rowOff>561564</xdr:rowOff>
    </xdr:from>
    <xdr:to>
      <xdr:col>3</xdr:col>
      <xdr:colOff>16070</xdr:colOff>
      <xdr:row>5</xdr:row>
      <xdr:rowOff>8638</xdr:rowOff>
    </xdr:to>
    <xdr:pic>
      <xdr:nvPicPr>
        <xdr:cNvPr id="7" name="Picture 6">
          <a:extLst>
            <a:ext uri="{FF2B5EF4-FFF2-40B4-BE49-F238E27FC236}">
              <a16:creationId xmlns:a16="http://schemas.microsoft.com/office/drawing/2014/main" id="{FE6FD96B-439F-1CF8-8041-94ED4CF015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84151" y="561564"/>
          <a:ext cx="2400558" cy="768911"/>
        </a:xfrm>
        <a:prstGeom prst="rect">
          <a:avLst/>
        </a:prstGeom>
      </xdr:spPr>
    </xdr:pic>
    <xdr:clientData/>
  </xdr:twoCellAnchor>
  <xdr:twoCellAnchor editAs="oneCell">
    <xdr:from>
      <xdr:col>3</xdr:col>
      <xdr:colOff>1</xdr:colOff>
      <xdr:row>1</xdr:row>
      <xdr:rowOff>0</xdr:rowOff>
    </xdr:from>
    <xdr:to>
      <xdr:col>4</xdr:col>
      <xdr:colOff>17279</xdr:colOff>
      <xdr:row>5</xdr:row>
      <xdr:rowOff>8639</xdr:rowOff>
    </xdr:to>
    <xdr:pic>
      <xdr:nvPicPr>
        <xdr:cNvPr id="9" name="Picture 8">
          <a:extLst>
            <a:ext uri="{FF2B5EF4-FFF2-40B4-BE49-F238E27FC236}">
              <a16:creationId xmlns:a16="http://schemas.microsoft.com/office/drawing/2014/main" id="{FCB0C8D0-87AF-A7EB-DF17-B3E7932F8FF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68640" y="561565"/>
          <a:ext cx="4250612" cy="768911"/>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XFC13"/>
  <sheetViews>
    <sheetView showGridLines="0" tabSelected="1" zoomScale="160" zoomScaleNormal="160" workbookViewId="0">
      <selection activeCell="G16" sqref="G16"/>
    </sheetView>
  </sheetViews>
  <sheetFormatPr baseColWidth="10" defaultColWidth="0" defaultRowHeight="15" x14ac:dyDescent="0.2"/>
  <cols>
    <col min="1" max="1" width="40.5" customWidth="1"/>
    <col min="2" max="2" width="16" customWidth="1"/>
    <col min="3" max="3" width="4" customWidth="1"/>
    <col min="4" max="4" width="72" customWidth="1"/>
    <col min="5" max="5" width="16.83203125" customWidth="1"/>
    <col min="6" max="6" width="17.6640625" customWidth="1"/>
    <col min="7" max="7" width="15.83203125" customWidth="1"/>
    <col min="8" max="8" width="8.83203125" customWidth="1"/>
    <col min="10" max="16383" width="8.83203125" hidden="1"/>
    <col min="16384" max="16384" width="7.33203125" hidden="1" customWidth="1"/>
  </cols>
  <sheetData>
    <row r="1" spans="1:7" ht="24" customHeight="1" x14ac:dyDescent="0.2">
      <c r="A1" s="42" t="s">
        <v>224</v>
      </c>
      <c r="E1" s="40" t="s">
        <v>316</v>
      </c>
      <c r="F1" s="39" t="s">
        <v>317</v>
      </c>
      <c r="G1" s="41" t="s">
        <v>319</v>
      </c>
    </row>
    <row r="2" spans="1:7" ht="64" x14ac:dyDescent="0.2">
      <c r="E2" s="30" t="s">
        <v>315</v>
      </c>
      <c r="F2" s="30" t="s">
        <v>318</v>
      </c>
      <c r="G2" s="30" t="s">
        <v>320</v>
      </c>
    </row>
    <row r="3" spans="1:7" ht="34" customHeight="1" x14ac:dyDescent="0.2">
      <c r="A3" s="1" t="s">
        <v>225</v>
      </c>
      <c r="B3" s="1" t="s">
        <v>226</v>
      </c>
      <c r="D3" s="2" t="s">
        <v>227</v>
      </c>
    </row>
    <row r="4" spans="1:7" x14ac:dyDescent="0.2">
      <c r="A4" s="9" t="s">
        <v>228</v>
      </c>
      <c r="B4" s="10">
        <f>COUNTA('Asset Inventory'!A4:A200)</f>
        <v>10</v>
      </c>
      <c r="D4" t="s">
        <v>321</v>
      </c>
    </row>
    <row r="5" spans="1:7" x14ac:dyDescent="0.2">
      <c r="A5" s="9" t="s">
        <v>229</v>
      </c>
      <c r="B5" s="10">
        <f>COUNTIF('Compliance Assessment'!C4:C121,"&lt;&gt;")</f>
        <v>14</v>
      </c>
      <c r="D5" s="3" t="s">
        <v>322</v>
      </c>
    </row>
    <row r="6" spans="1:7" x14ac:dyDescent="0.2">
      <c r="A6" s="9" t="s">
        <v>230</v>
      </c>
      <c r="B6" s="37" t="s">
        <v>312</v>
      </c>
      <c r="D6" s="3" t="s">
        <v>323</v>
      </c>
    </row>
    <row r="7" spans="1:7" x14ac:dyDescent="0.2">
      <c r="A7" s="9" t="s">
        <v>231</v>
      </c>
      <c r="B7" s="38" t="s">
        <v>313</v>
      </c>
      <c r="D7" s="3" t="s">
        <v>324</v>
      </c>
    </row>
    <row r="8" spans="1:7" x14ac:dyDescent="0.2">
      <c r="A8" s="9" t="s">
        <v>232</v>
      </c>
      <c r="B8" s="11" t="s">
        <v>314</v>
      </c>
    </row>
    <row r="9" spans="1:7" x14ac:dyDescent="0.2">
      <c r="A9" s="9" t="s">
        <v>233</v>
      </c>
      <c r="B9" s="10">
        <v>3</v>
      </c>
    </row>
    <row r="10" spans="1:7" x14ac:dyDescent="0.2">
      <c r="A10" s="9" t="s">
        <v>234</v>
      </c>
      <c r="B10" s="10">
        <f>COUNTIF('Risk Register'!I4:I120,"Critical")</f>
        <v>1</v>
      </c>
    </row>
    <row r="11" spans="1:7" x14ac:dyDescent="0.2">
      <c r="A11" s="9" t="s">
        <v>235</v>
      </c>
      <c r="B11" s="10">
        <v>3</v>
      </c>
    </row>
    <row r="13" spans="1:7" ht="32" x14ac:dyDescent="0.2">
      <c r="A13" s="30" t="s">
        <v>334</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AA1DC-37AB-3349-AFD7-C6CE908CA0F2}">
  <dimension ref="A1"/>
  <sheetViews>
    <sheetView workbookViewId="0"/>
  </sheetViews>
  <sheetFormatPr baseColWidth="10" defaultRowHeight="15" x14ac:dyDescent="0.2"/>
  <cols>
    <col min="1" max="1" width="65.5" customWidth="1"/>
  </cols>
  <sheetData>
    <row r="1" spans="1:1" ht="409" customHeight="1" x14ac:dyDescent="0.2">
      <c r="A1" s="50" t="s">
        <v>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W121"/>
  <sheetViews>
    <sheetView showGridLines="0" topLeftCell="A7" zoomScale="97" zoomScaleNormal="97" workbookViewId="0">
      <selection activeCell="N17" sqref="N17"/>
    </sheetView>
  </sheetViews>
  <sheetFormatPr baseColWidth="10" defaultColWidth="8.83203125" defaultRowHeight="15" x14ac:dyDescent="0.2"/>
  <cols>
    <col min="1" max="2" width="12" customWidth="1"/>
    <col min="3" max="3" width="26" customWidth="1"/>
    <col min="4" max="4" width="12" customWidth="1"/>
    <col min="5" max="7" width="24" customWidth="1"/>
    <col min="8" max="8" width="14" customWidth="1"/>
    <col min="9" max="9" width="24" customWidth="1"/>
    <col min="10" max="10" width="12" customWidth="1"/>
    <col min="11" max="11" width="32" customWidth="1"/>
    <col min="12" max="12" width="36.83203125" customWidth="1"/>
    <col min="13" max="13" width="28.33203125" customWidth="1"/>
    <col min="14" max="14" width="19.83203125" customWidth="1"/>
  </cols>
  <sheetData>
    <row r="1" spans="1:23" ht="24" customHeight="1" x14ac:dyDescent="0.25">
      <c r="A1" s="45" t="s">
        <v>100</v>
      </c>
      <c r="B1" s="44"/>
      <c r="C1" s="44"/>
      <c r="D1" s="44"/>
      <c r="E1" s="44"/>
      <c r="F1" s="44"/>
      <c r="G1" s="44"/>
      <c r="H1" s="44"/>
      <c r="I1" s="44"/>
      <c r="J1" s="44"/>
      <c r="K1" s="44"/>
      <c r="L1" s="45"/>
      <c r="M1" s="44"/>
      <c r="N1" s="44"/>
      <c r="O1" s="44"/>
      <c r="P1" s="44"/>
      <c r="Q1" s="44"/>
      <c r="R1" s="44"/>
      <c r="S1" s="44"/>
      <c r="T1" s="44"/>
      <c r="U1" s="44"/>
      <c r="V1" s="44"/>
      <c r="W1" s="13"/>
    </row>
    <row r="2" spans="1:23" ht="21" x14ac:dyDescent="0.25">
      <c r="A2" s="13"/>
      <c r="B2" s="13"/>
      <c r="C2" s="13"/>
      <c r="D2" s="13"/>
      <c r="E2" s="13"/>
      <c r="F2" s="13"/>
      <c r="G2" s="13"/>
      <c r="H2" s="13"/>
      <c r="I2" s="13"/>
      <c r="J2" s="13"/>
      <c r="K2" s="13"/>
      <c r="L2" s="13"/>
      <c r="M2" s="13"/>
      <c r="N2" s="13"/>
      <c r="O2" s="13"/>
      <c r="P2" s="13"/>
      <c r="Q2" s="13"/>
      <c r="R2" s="13"/>
      <c r="S2" s="13"/>
      <c r="T2" s="13"/>
      <c r="U2" s="13"/>
      <c r="V2" s="13"/>
      <c r="W2" s="13"/>
    </row>
    <row r="3" spans="1:23" ht="43" customHeight="1" x14ac:dyDescent="0.25">
      <c r="A3" s="14" t="s">
        <v>101</v>
      </c>
      <c r="B3" s="14" t="s">
        <v>102</v>
      </c>
      <c r="C3" s="14" t="s">
        <v>103</v>
      </c>
      <c r="D3" s="14" t="s">
        <v>38</v>
      </c>
      <c r="E3" s="14" t="s">
        <v>39</v>
      </c>
      <c r="F3" s="14" t="s">
        <v>104</v>
      </c>
      <c r="G3" s="14" t="s">
        <v>105</v>
      </c>
      <c r="H3" s="14" t="s">
        <v>106</v>
      </c>
      <c r="I3" s="14" t="s">
        <v>107</v>
      </c>
      <c r="J3" s="14" t="s">
        <v>108</v>
      </c>
      <c r="K3" s="14" t="s">
        <v>22</v>
      </c>
      <c r="L3" s="14" t="s">
        <v>236</v>
      </c>
      <c r="M3" s="14" t="s">
        <v>237</v>
      </c>
      <c r="N3" s="14" t="s">
        <v>238</v>
      </c>
      <c r="O3" s="13"/>
      <c r="P3" s="13"/>
      <c r="Q3" s="13"/>
      <c r="R3" s="13"/>
      <c r="S3" s="13"/>
      <c r="T3" s="13"/>
      <c r="U3" s="13"/>
      <c r="V3" s="13"/>
      <c r="W3" s="13"/>
    </row>
    <row r="4" spans="1:23" ht="66" x14ac:dyDescent="0.25">
      <c r="A4" s="32" t="str">
        <f t="shared" ref="A4:A36" si="0">IF(C4="","","F-"&amp;TEXT(ROW()-3,"000"))</f>
        <v>F-001</v>
      </c>
      <c r="B4" s="13" t="s">
        <v>241</v>
      </c>
      <c r="C4" s="29" t="s">
        <v>110</v>
      </c>
      <c r="D4" s="29" t="s">
        <v>45</v>
      </c>
      <c r="E4" s="33" t="str">
        <f>IFERROR(VLOOKUP(D4,'Asset Inventory'!$A$4:$B$200,2,FALSE),"")</f>
        <v>Windows Laptop</v>
      </c>
      <c r="F4" s="29" t="s">
        <v>111</v>
      </c>
      <c r="G4" s="29" t="s">
        <v>112</v>
      </c>
      <c r="H4" s="29" t="s">
        <v>5</v>
      </c>
      <c r="I4" s="29" t="s">
        <v>113</v>
      </c>
      <c r="J4" s="29" t="s">
        <v>15</v>
      </c>
      <c r="K4" s="29" t="s">
        <v>289</v>
      </c>
      <c r="L4" s="13" t="s">
        <v>239</v>
      </c>
      <c r="M4" s="31" t="s">
        <v>247</v>
      </c>
      <c r="N4" s="13"/>
      <c r="O4" s="13"/>
      <c r="P4" s="13"/>
      <c r="Q4" s="13"/>
      <c r="R4" s="13"/>
      <c r="S4" s="13"/>
      <c r="T4" s="13"/>
      <c r="U4" s="13"/>
      <c r="V4" s="13"/>
      <c r="W4" s="13"/>
    </row>
    <row r="5" spans="1:23" ht="66" x14ac:dyDescent="0.25">
      <c r="A5" s="32" t="str">
        <f t="shared" ref="A5" si="1">IF(C5="","","F-"&amp;TEXT(ROW()-3,"000"))</f>
        <v>F-002</v>
      </c>
      <c r="B5" s="13" t="s">
        <v>241</v>
      </c>
      <c r="C5" s="29" t="s">
        <v>110</v>
      </c>
      <c r="D5" s="29" t="s">
        <v>45</v>
      </c>
      <c r="E5" s="33" t="str">
        <f>IFERROR(VLOOKUP(D5,'Asset Inventory'!$A$4:$B$200,2,FALSE),"")</f>
        <v>Windows Laptop</v>
      </c>
      <c r="F5" s="29" t="s">
        <v>111</v>
      </c>
      <c r="G5" s="29" t="s">
        <v>112</v>
      </c>
      <c r="H5" s="29" t="s">
        <v>5</v>
      </c>
      <c r="I5" s="29" t="s">
        <v>113</v>
      </c>
      <c r="J5" s="29" t="s">
        <v>15</v>
      </c>
      <c r="K5" s="29" t="s">
        <v>289</v>
      </c>
      <c r="L5" s="13" t="s">
        <v>239</v>
      </c>
      <c r="M5" s="31" t="s">
        <v>247</v>
      </c>
      <c r="N5" s="13"/>
      <c r="O5" s="13"/>
      <c r="P5" s="13"/>
      <c r="Q5" s="13"/>
      <c r="R5" s="13"/>
      <c r="S5" s="13"/>
      <c r="T5" s="13"/>
      <c r="U5" s="13"/>
      <c r="V5" s="13"/>
      <c r="W5" s="13"/>
    </row>
    <row r="6" spans="1:23" ht="66" x14ac:dyDescent="0.25">
      <c r="A6" s="32" t="str">
        <f t="shared" si="0"/>
        <v>F-003</v>
      </c>
      <c r="B6" s="13" t="s">
        <v>242</v>
      </c>
      <c r="C6" s="29" t="s">
        <v>115</v>
      </c>
      <c r="D6" s="29" t="s">
        <v>45</v>
      </c>
      <c r="E6" s="33" t="str">
        <f>IFERROR(VLOOKUP(D6,'Asset Inventory'!$A$4:$B$200,2,FALSE),"")</f>
        <v>Windows Laptop</v>
      </c>
      <c r="F6" s="29" t="s">
        <v>116</v>
      </c>
      <c r="G6" s="29" t="s">
        <v>117</v>
      </c>
      <c r="H6" s="29" t="s">
        <v>5</v>
      </c>
      <c r="I6" s="29" t="s">
        <v>113</v>
      </c>
      <c r="J6" s="29" t="s">
        <v>11</v>
      </c>
      <c r="K6" s="29" t="s">
        <v>118</v>
      </c>
      <c r="L6" s="13" t="s">
        <v>240</v>
      </c>
      <c r="M6" s="31" t="s">
        <v>248</v>
      </c>
      <c r="N6" s="13"/>
      <c r="O6" s="13"/>
      <c r="P6" s="13"/>
      <c r="Q6" s="13"/>
      <c r="R6" s="13"/>
      <c r="S6" s="13"/>
      <c r="T6" s="13"/>
      <c r="U6" s="13"/>
      <c r="V6" s="13"/>
      <c r="W6" s="13"/>
    </row>
    <row r="7" spans="1:23" ht="44" x14ac:dyDescent="0.25">
      <c r="A7" s="32" t="str">
        <f t="shared" si="0"/>
        <v>F-004</v>
      </c>
      <c r="B7" s="13" t="s">
        <v>243</v>
      </c>
      <c r="C7" s="29" t="s">
        <v>120</v>
      </c>
      <c r="D7" s="29" t="s">
        <v>45</v>
      </c>
      <c r="E7" s="33" t="str">
        <f>IFERROR(VLOOKUP(D7,'Asset Inventory'!$A$4:$B$200,2,FALSE),"")</f>
        <v>Windows Laptop</v>
      </c>
      <c r="F7" s="29" t="s">
        <v>121</v>
      </c>
      <c r="G7" s="29" t="s">
        <v>122</v>
      </c>
      <c r="H7" s="29" t="s">
        <v>0</v>
      </c>
      <c r="I7" s="29" t="s">
        <v>113</v>
      </c>
      <c r="J7" s="29" t="s">
        <v>1</v>
      </c>
      <c r="K7" s="29" t="s">
        <v>123</v>
      </c>
      <c r="L7" s="13" t="s">
        <v>259</v>
      </c>
      <c r="M7" s="31" t="s">
        <v>249</v>
      </c>
      <c r="N7" s="13"/>
      <c r="O7" s="13"/>
      <c r="P7" s="13"/>
      <c r="Q7" s="13"/>
      <c r="R7" s="13"/>
      <c r="S7" s="13"/>
      <c r="T7" s="13"/>
      <c r="U7" s="13"/>
      <c r="V7" s="13"/>
      <c r="W7" s="13"/>
    </row>
    <row r="8" spans="1:23" ht="66" x14ac:dyDescent="0.25">
      <c r="A8" s="32" t="str">
        <f t="shared" si="0"/>
        <v>F-005</v>
      </c>
      <c r="B8" s="29" t="s">
        <v>244</v>
      </c>
      <c r="C8" s="29" t="s">
        <v>125</v>
      </c>
      <c r="D8" s="29" t="s">
        <v>45</v>
      </c>
      <c r="E8" s="33" t="str">
        <f>IFERROR(VLOOKUP(D8,'Asset Inventory'!$A$4:$B$200,2,FALSE),"")</f>
        <v>Windows Laptop</v>
      </c>
      <c r="F8" s="29" t="s">
        <v>126</v>
      </c>
      <c r="G8" s="29" t="s">
        <v>112</v>
      </c>
      <c r="H8" s="29" t="s">
        <v>5</v>
      </c>
      <c r="I8" s="29" t="s">
        <v>113</v>
      </c>
      <c r="J8" s="29" t="s">
        <v>6</v>
      </c>
      <c r="K8" s="29" t="s">
        <v>127</v>
      </c>
      <c r="L8" s="13" t="s">
        <v>260</v>
      </c>
      <c r="M8" s="31" t="s">
        <v>250</v>
      </c>
      <c r="N8" s="13"/>
      <c r="O8" s="13"/>
      <c r="P8" s="13"/>
      <c r="Q8" s="13"/>
      <c r="R8" s="13"/>
      <c r="S8" s="13"/>
      <c r="T8" s="13"/>
      <c r="U8" s="13"/>
      <c r="V8" s="13"/>
      <c r="W8" s="13"/>
    </row>
    <row r="9" spans="1:23" ht="66" x14ac:dyDescent="0.25">
      <c r="A9" s="32" t="str">
        <f t="shared" si="0"/>
        <v>F-006</v>
      </c>
      <c r="B9" s="29" t="s">
        <v>245</v>
      </c>
      <c r="C9" s="29" t="s">
        <v>129</v>
      </c>
      <c r="D9" s="29" t="s">
        <v>45</v>
      </c>
      <c r="E9" s="33" t="str">
        <f>IFERROR(VLOOKUP(D9,'Asset Inventory'!$A$4:$B$200,2,FALSE),"")</f>
        <v>Windows Laptop</v>
      </c>
      <c r="F9" s="29" t="s">
        <v>130</v>
      </c>
      <c r="G9" s="29" t="s">
        <v>131</v>
      </c>
      <c r="H9" s="29" t="s">
        <v>0</v>
      </c>
      <c r="I9" s="29" t="s">
        <v>113</v>
      </c>
      <c r="J9" s="29" t="s">
        <v>1</v>
      </c>
      <c r="K9" s="29" t="s">
        <v>132</v>
      </c>
      <c r="L9" s="13" t="s">
        <v>261</v>
      </c>
      <c r="M9" s="31" t="s">
        <v>251</v>
      </c>
      <c r="N9" s="13"/>
      <c r="O9" s="13"/>
      <c r="P9" s="13"/>
      <c r="Q9" s="13"/>
      <c r="R9" s="13"/>
      <c r="S9" s="13"/>
      <c r="T9" s="13"/>
      <c r="U9" s="13"/>
      <c r="V9" s="13"/>
      <c r="W9" s="13"/>
    </row>
    <row r="10" spans="1:23" ht="66" x14ac:dyDescent="0.25">
      <c r="A10" s="32" t="str">
        <f t="shared" si="0"/>
        <v>F-007</v>
      </c>
      <c r="B10" s="29" t="s">
        <v>246</v>
      </c>
      <c r="C10" s="29" t="s">
        <v>134</v>
      </c>
      <c r="D10" s="29" t="s">
        <v>45</v>
      </c>
      <c r="E10" s="33" t="str">
        <f>IFERROR(VLOOKUP(D10,'Asset Inventory'!$A$4:$B$200,2,FALSE),"")</f>
        <v>Windows Laptop</v>
      </c>
      <c r="F10" s="29" t="s">
        <v>287</v>
      </c>
      <c r="G10" s="29" t="s">
        <v>288</v>
      </c>
      <c r="H10" s="29" t="s">
        <v>0</v>
      </c>
      <c r="I10" s="29" t="s">
        <v>135</v>
      </c>
      <c r="J10" s="29" t="s">
        <v>1</v>
      </c>
      <c r="K10" s="29" t="s">
        <v>136</v>
      </c>
      <c r="L10" s="13" t="s">
        <v>262</v>
      </c>
      <c r="M10" s="31" t="s">
        <v>252</v>
      </c>
      <c r="N10" s="13"/>
      <c r="O10" s="13"/>
      <c r="P10" s="13"/>
      <c r="Q10" s="13"/>
      <c r="R10" s="13"/>
      <c r="S10" s="13"/>
      <c r="T10" s="13"/>
      <c r="U10" s="13"/>
      <c r="V10" s="13"/>
      <c r="W10" s="13"/>
    </row>
    <row r="11" spans="1:23" ht="44" x14ac:dyDescent="0.25">
      <c r="A11" s="32" t="str">
        <f t="shared" si="0"/>
        <v>F-008</v>
      </c>
      <c r="B11" s="13" t="s">
        <v>253</v>
      </c>
      <c r="C11" s="29" t="s">
        <v>138</v>
      </c>
      <c r="D11" s="29" t="s">
        <v>51</v>
      </c>
      <c r="E11" s="33" t="str">
        <f>IFERROR(VLOOKUP(D11,'Asset Inventory'!$A$4:$B$200,2,FALSE),"")</f>
        <v>Kali VM</v>
      </c>
      <c r="F11" s="29" t="s">
        <v>275</v>
      </c>
      <c r="G11" s="29" t="s">
        <v>276</v>
      </c>
      <c r="H11" s="29" t="s">
        <v>5</v>
      </c>
      <c r="I11" s="29" t="s">
        <v>139</v>
      </c>
      <c r="J11" s="29" t="s">
        <v>11</v>
      </c>
      <c r="K11" s="29" t="s">
        <v>278</v>
      </c>
      <c r="L11" s="13" t="s">
        <v>263</v>
      </c>
      <c r="M11" s="31" t="s">
        <v>277</v>
      </c>
      <c r="N11" s="13"/>
      <c r="O11" s="13"/>
      <c r="P11" s="13"/>
      <c r="Q11" s="13"/>
      <c r="R11" s="13"/>
      <c r="S11" s="13"/>
      <c r="T11" s="13"/>
      <c r="U11" s="13"/>
      <c r="V11" s="13"/>
      <c r="W11" s="13"/>
    </row>
    <row r="12" spans="1:23" ht="44" x14ac:dyDescent="0.25">
      <c r="A12" s="32" t="str">
        <f t="shared" si="0"/>
        <v>F-009</v>
      </c>
      <c r="B12" s="29" t="s">
        <v>254</v>
      </c>
      <c r="C12" s="29" t="s">
        <v>286</v>
      </c>
      <c r="D12" s="29" t="s">
        <v>51</v>
      </c>
      <c r="E12" s="33" t="str">
        <f>IFERROR(VLOOKUP(D12,'Asset Inventory'!$A$4:$B$200,2,FALSE),"")</f>
        <v>Kali VM</v>
      </c>
      <c r="F12" s="29" t="s">
        <v>141</v>
      </c>
      <c r="G12" s="29" t="s">
        <v>141</v>
      </c>
      <c r="H12" s="29" t="s">
        <v>0</v>
      </c>
      <c r="I12" s="29" t="s">
        <v>142</v>
      </c>
      <c r="J12" s="29" t="s">
        <v>1</v>
      </c>
      <c r="K12" s="29" t="s">
        <v>143</v>
      </c>
      <c r="L12" s="13" t="s">
        <v>264</v>
      </c>
      <c r="M12" s="31" t="s">
        <v>295</v>
      </c>
      <c r="N12" s="13"/>
      <c r="O12" s="13"/>
      <c r="P12" s="13"/>
      <c r="Q12" s="13"/>
      <c r="R12" s="13"/>
      <c r="S12" s="13"/>
      <c r="T12" s="13"/>
      <c r="U12" s="13"/>
      <c r="V12" s="13"/>
      <c r="W12" s="13"/>
    </row>
    <row r="13" spans="1:23" ht="110" x14ac:dyDescent="0.25">
      <c r="A13" s="32" t="str">
        <f t="shared" si="0"/>
        <v>F-010</v>
      </c>
      <c r="B13" s="29" t="s">
        <v>255</v>
      </c>
      <c r="C13" s="29" t="s">
        <v>145</v>
      </c>
      <c r="D13" s="29" t="s">
        <v>88</v>
      </c>
      <c r="E13" s="33" t="str">
        <f>IFERROR(VLOOKUP(D13,'Asset Inventory'!$A$4:$B$200,2,FALSE),"")</f>
        <v>Apache Configuration</v>
      </c>
      <c r="F13" s="29" t="s">
        <v>146</v>
      </c>
      <c r="G13" s="29" t="s">
        <v>293</v>
      </c>
      <c r="H13" s="29" t="s">
        <v>294</v>
      </c>
      <c r="I13" s="29"/>
      <c r="J13" s="29" t="s">
        <v>294</v>
      </c>
      <c r="K13" s="29" t="s">
        <v>296</v>
      </c>
      <c r="L13" s="13" t="s">
        <v>265</v>
      </c>
      <c r="M13" s="31" t="s">
        <v>256</v>
      </c>
      <c r="N13" s="13"/>
      <c r="O13" s="13"/>
      <c r="P13" s="13"/>
      <c r="Q13" s="13"/>
      <c r="R13" s="13"/>
      <c r="S13" s="13"/>
      <c r="T13" s="13"/>
      <c r="U13" s="13"/>
      <c r="V13" s="13"/>
      <c r="W13" s="13"/>
    </row>
    <row r="14" spans="1:23" ht="88" x14ac:dyDescent="0.25">
      <c r="A14" s="32" t="str">
        <f t="shared" si="0"/>
        <v>F-011</v>
      </c>
      <c r="B14" s="29" t="s">
        <v>257</v>
      </c>
      <c r="C14" s="29" t="s">
        <v>148</v>
      </c>
      <c r="D14" s="29" t="s">
        <v>94</v>
      </c>
      <c r="E14" s="33" t="str">
        <f>IFERROR(VLOOKUP(D14,'Asset Inventory'!$A$4:$B$200,2,FALSE),"")</f>
        <v>Evidence Repository</v>
      </c>
      <c r="F14" s="29" t="s">
        <v>149</v>
      </c>
      <c r="G14" s="29" t="s">
        <v>290</v>
      </c>
      <c r="H14" s="29" t="s">
        <v>0</v>
      </c>
      <c r="I14" s="29" t="s">
        <v>291</v>
      </c>
      <c r="J14" s="29" t="s">
        <v>1</v>
      </c>
      <c r="K14" s="29" t="s">
        <v>292</v>
      </c>
      <c r="L14" s="13" t="s">
        <v>266</v>
      </c>
      <c r="M14" s="31" t="s">
        <v>258</v>
      </c>
      <c r="N14" s="13"/>
      <c r="O14" s="13"/>
      <c r="P14" s="13"/>
      <c r="Q14" s="13"/>
      <c r="R14" s="13"/>
      <c r="S14" s="13"/>
      <c r="T14" s="13"/>
      <c r="U14" s="13"/>
      <c r="V14" s="13"/>
      <c r="W14" s="13"/>
    </row>
    <row r="15" spans="1:23" ht="37" customHeight="1" x14ac:dyDescent="0.25">
      <c r="A15" s="32" t="s">
        <v>267</v>
      </c>
      <c r="B15" s="13" t="s">
        <v>253</v>
      </c>
      <c r="C15" s="29" t="s">
        <v>268</v>
      </c>
      <c r="D15" s="29" t="s">
        <v>51</v>
      </c>
      <c r="E15" s="34" t="str">
        <f>IFERROR(VLOOKUP(D15,'Asset Inventory'!$A$4:$B$200,2,FALSE),"")</f>
        <v>Kali VM</v>
      </c>
      <c r="F15" s="29" t="s">
        <v>269</v>
      </c>
      <c r="G15" s="29" t="s">
        <v>270</v>
      </c>
      <c r="H15" s="29" t="s">
        <v>0</v>
      </c>
      <c r="I15" s="29" t="s">
        <v>139</v>
      </c>
      <c r="J15" s="29" t="s">
        <v>1</v>
      </c>
      <c r="K15" s="29" t="s">
        <v>285</v>
      </c>
      <c r="L15" s="13" t="s">
        <v>282</v>
      </c>
      <c r="M15" s="13"/>
      <c r="N15" s="13"/>
      <c r="O15" s="13"/>
      <c r="P15" s="13"/>
      <c r="Q15" s="13"/>
      <c r="R15" s="13"/>
      <c r="S15" s="13"/>
      <c r="T15" s="13"/>
      <c r="U15" s="13"/>
      <c r="V15" s="13"/>
      <c r="W15" s="13"/>
    </row>
    <row r="16" spans="1:23" ht="44" x14ac:dyDescent="0.25">
      <c r="A16" s="32" t="s">
        <v>271</v>
      </c>
      <c r="B16" s="35"/>
      <c r="C16" s="29" t="s">
        <v>272</v>
      </c>
      <c r="D16" s="35"/>
      <c r="E16" s="36" t="str">
        <f>IFERROR(VLOOKUP(D16,'Asset Inventory'!$A$4:$B$200,2,FALSE),"")</f>
        <v/>
      </c>
      <c r="F16" s="29" t="s">
        <v>273</v>
      </c>
      <c r="G16" s="29" t="s">
        <v>274</v>
      </c>
      <c r="H16" s="29" t="s">
        <v>5</v>
      </c>
      <c r="I16" s="35"/>
      <c r="J16" s="35"/>
      <c r="K16" s="35"/>
      <c r="L16" s="13" t="s">
        <v>283</v>
      </c>
      <c r="M16" s="13"/>
      <c r="N16" s="13"/>
      <c r="O16" s="13"/>
      <c r="P16" s="13"/>
      <c r="Q16" s="13"/>
      <c r="R16" s="13"/>
      <c r="S16" s="13"/>
      <c r="T16" s="13"/>
      <c r="U16" s="13"/>
      <c r="V16" s="13"/>
      <c r="W16" s="13"/>
    </row>
    <row r="17" spans="1:23" ht="44" x14ac:dyDescent="0.25">
      <c r="A17" s="32" t="s">
        <v>279</v>
      </c>
      <c r="B17" s="13" t="s">
        <v>253</v>
      </c>
      <c r="C17" s="29" t="s">
        <v>138</v>
      </c>
      <c r="D17" s="29" t="s">
        <v>51</v>
      </c>
      <c r="E17" s="36" t="str">
        <f>IFERROR(VLOOKUP(D17,'Asset Inventory'!$A$4:$B$200,2,FALSE),"")</f>
        <v>Kali VM</v>
      </c>
      <c r="F17" s="29" t="s">
        <v>275</v>
      </c>
      <c r="G17" s="29" t="s">
        <v>280</v>
      </c>
      <c r="H17" s="29" t="s">
        <v>0</v>
      </c>
      <c r="I17" s="29" t="s">
        <v>135</v>
      </c>
      <c r="J17" s="29" t="s">
        <v>1</v>
      </c>
      <c r="K17" s="31" t="s">
        <v>281</v>
      </c>
      <c r="L17" s="13" t="s">
        <v>284</v>
      </c>
      <c r="M17" s="13"/>
      <c r="N17" s="13"/>
      <c r="O17" s="13"/>
      <c r="P17" s="13"/>
      <c r="Q17" s="13"/>
      <c r="R17" s="13"/>
      <c r="S17" s="13"/>
      <c r="T17" s="13"/>
      <c r="U17" s="13"/>
      <c r="V17" s="13"/>
      <c r="W17" s="13"/>
    </row>
    <row r="18" spans="1:23" ht="22" x14ac:dyDescent="0.25">
      <c r="A18" s="32" t="str">
        <f t="shared" si="0"/>
        <v/>
      </c>
      <c r="B18" s="35"/>
      <c r="C18" s="35"/>
      <c r="D18" s="35"/>
      <c r="E18" s="36" t="str">
        <f>IFERROR(VLOOKUP(D18,'Asset Inventory'!$A$4:$B$200,2,FALSE),"")</f>
        <v/>
      </c>
      <c r="F18" s="35"/>
      <c r="G18" s="35"/>
      <c r="H18" s="35"/>
      <c r="I18" s="35"/>
      <c r="J18" s="35"/>
      <c r="K18" s="35"/>
      <c r="L18" s="13"/>
      <c r="M18" s="13"/>
      <c r="N18" s="13"/>
      <c r="O18" s="13"/>
      <c r="P18" s="13"/>
      <c r="Q18" s="13"/>
      <c r="R18" s="13"/>
      <c r="S18" s="13"/>
      <c r="T18" s="13"/>
      <c r="U18" s="13"/>
      <c r="V18" s="13"/>
      <c r="W18" s="13"/>
    </row>
    <row r="19" spans="1:23" ht="23" x14ac:dyDescent="0.3">
      <c r="A19" s="21" t="str">
        <f t="shared" si="0"/>
        <v/>
      </c>
      <c r="B19" s="20"/>
      <c r="C19" s="20"/>
      <c r="D19" s="20"/>
      <c r="E19" s="22" t="str">
        <f>IFERROR(VLOOKUP(D19,'Asset Inventory'!$A$4:$B$200,2,FALSE),"")</f>
        <v/>
      </c>
      <c r="F19" s="20"/>
      <c r="G19" s="20"/>
      <c r="H19" s="20"/>
      <c r="I19" s="20"/>
      <c r="J19" s="20"/>
      <c r="K19" s="20"/>
      <c r="L19" s="13"/>
      <c r="M19" s="13"/>
      <c r="N19" s="13"/>
      <c r="O19" s="13"/>
      <c r="P19" s="13"/>
      <c r="Q19" s="13"/>
      <c r="R19" s="13"/>
      <c r="S19" s="13"/>
      <c r="T19" s="13"/>
      <c r="U19" s="13"/>
      <c r="V19" s="13"/>
      <c r="W19" s="13"/>
    </row>
    <row r="20" spans="1:23" ht="23" x14ac:dyDescent="0.3">
      <c r="A20" s="21" t="str">
        <f t="shared" si="0"/>
        <v/>
      </c>
      <c r="B20" s="20"/>
      <c r="C20" s="20"/>
      <c r="D20" s="20"/>
      <c r="E20" s="22" t="str">
        <f>IFERROR(VLOOKUP(D20,'Asset Inventory'!$A$4:$B$200,2,FALSE),"")</f>
        <v/>
      </c>
      <c r="F20" s="20"/>
      <c r="G20" s="20"/>
      <c r="H20" s="20"/>
      <c r="I20" s="20"/>
      <c r="J20" s="20"/>
      <c r="K20" s="20"/>
      <c r="L20" s="13"/>
      <c r="M20" s="13"/>
      <c r="N20" s="13"/>
      <c r="O20" s="13"/>
      <c r="P20" s="13"/>
      <c r="Q20" s="13"/>
      <c r="R20" s="13"/>
      <c r="S20" s="13"/>
      <c r="T20" s="13"/>
      <c r="U20" s="13"/>
      <c r="V20" s="13"/>
      <c r="W20" s="13"/>
    </row>
    <row r="21" spans="1:23" ht="23" x14ac:dyDescent="0.3">
      <c r="A21" s="21" t="str">
        <f t="shared" si="0"/>
        <v/>
      </c>
      <c r="B21" s="20"/>
      <c r="C21" s="20"/>
      <c r="D21" s="20"/>
      <c r="E21" s="22" t="str">
        <f>IFERROR(VLOOKUP(D21,'Asset Inventory'!$A$4:$B$200,2,FALSE),"")</f>
        <v/>
      </c>
      <c r="F21" s="20"/>
      <c r="G21" s="20"/>
      <c r="H21" s="20"/>
      <c r="I21" s="20"/>
      <c r="J21" s="20"/>
      <c r="K21" s="20"/>
      <c r="L21" s="13"/>
      <c r="M21" s="13"/>
      <c r="N21" s="13"/>
      <c r="O21" s="13"/>
      <c r="P21" s="13"/>
      <c r="Q21" s="13"/>
      <c r="R21" s="13"/>
      <c r="S21" s="13"/>
      <c r="T21" s="13"/>
      <c r="U21" s="13"/>
      <c r="V21" s="13"/>
      <c r="W21" s="13"/>
    </row>
    <row r="22" spans="1:23" ht="23" x14ac:dyDescent="0.3">
      <c r="A22" s="21" t="str">
        <f t="shared" si="0"/>
        <v/>
      </c>
      <c r="B22" s="20"/>
      <c r="C22" s="20"/>
      <c r="D22" s="20"/>
      <c r="E22" s="22" t="str">
        <f>IFERROR(VLOOKUP(D22,'Asset Inventory'!$A$4:$B$200,2,FALSE),"")</f>
        <v/>
      </c>
      <c r="F22" s="20"/>
      <c r="G22" s="20"/>
      <c r="H22" s="20"/>
      <c r="I22" s="20"/>
      <c r="J22" s="20"/>
      <c r="K22" s="20"/>
      <c r="L22" s="13"/>
      <c r="M22" s="13"/>
      <c r="N22" s="13"/>
      <c r="O22" s="13"/>
      <c r="P22" s="13"/>
      <c r="Q22" s="13"/>
      <c r="R22" s="13"/>
      <c r="S22" s="13"/>
      <c r="T22" s="13"/>
      <c r="U22" s="13"/>
      <c r="V22" s="13"/>
      <c r="W22" s="13"/>
    </row>
    <row r="23" spans="1:23" ht="23" x14ac:dyDescent="0.3">
      <c r="A23" s="21" t="str">
        <f t="shared" si="0"/>
        <v/>
      </c>
      <c r="B23" s="20"/>
      <c r="C23" s="20"/>
      <c r="D23" s="20"/>
      <c r="E23" s="22" t="str">
        <f>IFERROR(VLOOKUP(D23,'Asset Inventory'!$A$4:$B$200,2,FALSE),"")</f>
        <v/>
      </c>
      <c r="F23" s="20"/>
      <c r="G23" s="20"/>
      <c r="H23" s="20"/>
      <c r="I23" s="20"/>
      <c r="J23" s="20"/>
      <c r="K23" s="20"/>
      <c r="L23" s="13"/>
      <c r="M23" s="13"/>
      <c r="N23" s="13"/>
      <c r="O23" s="13"/>
      <c r="P23" s="13"/>
      <c r="Q23" s="13"/>
      <c r="R23" s="13"/>
      <c r="S23" s="13"/>
      <c r="T23" s="13"/>
      <c r="U23" s="13"/>
      <c r="V23" s="13"/>
      <c r="W23" s="13"/>
    </row>
    <row r="24" spans="1:23" ht="23" x14ac:dyDescent="0.3">
      <c r="A24" s="21" t="str">
        <f t="shared" si="0"/>
        <v/>
      </c>
      <c r="B24" s="20"/>
      <c r="C24" s="20"/>
      <c r="D24" s="20"/>
      <c r="E24" s="22" t="str">
        <f>IFERROR(VLOOKUP(D24,'Asset Inventory'!$A$4:$B$200,2,FALSE),"")</f>
        <v/>
      </c>
      <c r="F24" s="20"/>
      <c r="G24" s="20"/>
      <c r="H24" s="20"/>
      <c r="I24" s="20"/>
      <c r="J24" s="20"/>
      <c r="K24" s="20"/>
      <c r="L24" s="13"/>
      <c r="M24" s="13"/>
      <c r="N24" s="13"/>
      <c r="O24" s="13"/>
      <c r="P24" s="13"/>
      <c r="Q24" s="13"/>
      <c r="R24" s="13"/>
      <c r="S24" s="13"/>
      <c r="T24" s="13"/>
      <c r="U24" s="13"/>
      <c r="V24" s="13"/>
      <c r="W24" s="13"/>
    </row>
    <row r="25" spans="1:23" ht="23" x14ac:dyDescent="0.3">
      <c r="A25" s="21" t="str">
        <f t="shared" si="0"/>
        <v/>
      </c>
      <c r="B25" s="20"/>
      <c r="C25" s="20"/>
      <c r="D25" s="20"/>
      <c r="E25" s="22" t="str">
        <f>IFERROR(VLOOKUP(D25,'Asset Inventory'!$A$4:$B$200,2,FALSE),"")</f>
        <v/>
      </c>
      <c r="F25" s="20"/>
      <c r="G25" s="20"/>
      <c r="H25" s="20"/>
      <c r="I25" s="20"/>
      <c r="J25" s="20"/>
      <c r="K25" s="20"/>
      <c r="L25" s="13"/>
      <c r="M25" s="13"/>
      <c r="N25" s="13"/>
      <c r="O25" s="13"/>
      <c r="P25" s="13"/>
      <c r="Q25" s="13"/>
      <c r="R25" s="13"/>
      <c r="S25" s="13"/>
      <c r="T25" s="13"/>
      <c r="U25" s="13"/>
      <c r="V25" s="13"/>
      <c r="W25" s="13"/>
    </row>
    <row r="26" spans="1:23" ht="23" x14ac:dyDescent="0.3">
      <c r="A26" s="21" t="str">
        <f t="shared" si="0"/>
        <v/>
      </c>
      <c r="B26" s="20"/>
      <c r="C26" s="20"/>
      <c r="D26" s="20"/>
      <c r="E26" s="22" t="str">
        <f>IFERROR(VLOOKUP(D26,'Asset Inventory'!$A$4:$B$200,2,FALSE),"")</f>
        <v/>
      </c>
      <c r="F26" s="20"/>
      <c r="G26" s="20"/>
      <c r="H26" s="20"/>
      <c r="I26" s="20"/>
      <c r="J26" s="20"/>
      <c r="K26" s="20"/>
      <c r="L26" s="13"/>
      <c r="M26" s="13"/>
      <c r="N26" s="13"/>
      <c r="O26" s="13"/>
      <c r="P26" s="13"/>
      <c r="Q26" s="13"/>
      <c r="R26" s="13"/>
      <c r="S26" s="13"/>
      <c r="T26" s="13"/>
      <c r="U26" s="13"/>
      <c r="V26" s="13"/>
      <c r="W26" s="13"/>
    </row>
    <row r="27" spans="1:23" ht="23" x14ac:dyDescent="0.3">
      <c r="A27" s="21" t="str">
        <f t="shared" si="0"/>
        <v/>
      </c>
      <c r="B27" s="20"/>
      <c r="C27" s="20"/>
      <c r="D27" s="20"/>
      <c r="E27" s="22" t="str">
        <f>IFERROR(VLOOKUP(D27,'Asset Inventory'!$A$4:$B$200,2,FALSE),"")</f>
        <v/>
      </c>
      <c r="F27" s="20"/>
      <c r="G27" s="20"/>
      <c r="H27" s="20"/>
      <c r="I27" s="20"/>
      <c r="J27" s="20"/>
      <c r="K27" s="20"/>
      <c r="L27" s="13"/>
      <c r="M27" s="13"/>
      <c r="N27" s="13"/>
      <c r="O27" s="13"/>
      <c r="P27" s="13"/>
      <c r="Q27" s="13"/>
      <c r="R27" s="13"/>
      <c r="S27" s="13"/>
      <c r="T27" s="13"/>
      <c r="U27" s="13"/>
      <c r="V27" s="13"/>
      <c r="W27" s="13"/>
    </row>
    <row r="28" spans="1:23" ht="23" x14ac:dyDescent="0.3">
      <c r="A28" s="21" t="str">
        <f t="shared" si="0"/>
        <v/>
      </c>
      <c r="B28" s="20"/>
      <c r="C28" s="20"/>
      <c r="D28" s="20"/>
      <c r="E28" s="22" t="str">
        <f>IFERROR(VLOOKUP(D28,'Asset Inventory'!$A$4:$B$200,2,FALSE),"")</f>
        <v/>
      </c>
      <c r="F28" s="20"/>
      <c r="G28" s="20"/>
      <c r="H28" s="20"/>
      <c r="I28" s="20"/>
      <c r="J28" s="20"/>
      <c r="K28" s="20"/>
      <c r="L28" s="13"/>
      <c r="M28" s="13"/>
      <c r="N28" s="13"/>
      <c r="O28" s="13"/>
      <c r="P28" s="13"/>
      <c r="Q28" s="13"/>
      <c r="R28" s="13"/>
      <c r="S28" s="13"/>
      <c r="T28" s="13"/>
      <c r="U28" s="13"/>
      <c r="V28" s="13"/>
      <c r="W28" s="13"/>
    </row>
    <row r="29" spans="1:23" ht="23" x14ac:dyDescent="0.3">
      <c r="A29" s="21" t="str">
        <f t="shared" si="0"/>
        <v/>
      </c>
      <c r="B29" s="20"/>
      <c r="C29" s="20"/>
      <c r="D29" s="20"/>
      <c r="E29" s="22" t="str">
        <f>IFERROR(VLOOKUP(D29,'Asset Inventory'!$A$4:$B$200,2,FALSE),"")</f>
        <v/>
      </c>
      <c r="F29" s="20"/>
      <c r="G29" s="20"/>
      <c r="H29" s="20"/>
      <c r="I29" s="20"/>
      <c r="J29" s="20"/>
      <c r="K29" s="20"/>
      <c r="L29" s="13"/>
      <c r="M29" s="13"/>
      <c r="N29" s="13"/>
      <c r="O29" s="13"/>
      <c r="P29" s="13"/>
      <c r="Q29" s="13"/>
      <c r="R29" s="13"/>
      <c r="S29" s="13"/>
      <c r="T29" s="13"/>
      <c r="U29" s="13"/>
      <c r="V29" s="13"/>
      <c r="W29" s="13"/>
    </row>
    <row r="30" spans="1:23" ht="23" x14ac:dyDescent="0.3">
      <c r="A30" s="21" t="str">
        <f t="shared" si="0"/>
        <v/>
      </c>
      <c r="B30" s="20"/>
      <c r="C30" s="20"/>
      <c r="D30" s="20"/>
      <c r="E30" s="22" t="str">
        <f>IFERROR(VLOOKUP(D30,'Asset Inventory'!$A$4:$B$200,2,FALSE),"")</f>
        <v/>
      </c>
      <c r="F30" s="20"/>
      <c r="G30" s="20"/>
      <c r="H30" s="20"/>
      <c r="I30" s="20"/>
      <c r="J30" s="20"/>
      <c r="K30" s="20"/>
      <c r="L30" s="13"/>
      <c r="M30" s="13"/>
      <c r="N30" s="13"/>
      <c r="O30" s="13"/>
      <c r="P30" s="13"/>
      <c r="Q30" s="13"/>
      <c r="R30" s="13"/>
      <c r="S30" s="13"/>
      <c r="T30" s="13"/>
      <c r="U30" s="13"/>
      <c r="V30" s="13"/>
      <c r="W30" s="13"/>
    </row>
    <row r="31" spans="1:23" ht="23" x14ac:dyDescent="0.3">
      <c r="A31" s="21" t="str">
        <f t="shared" si="0"/>
        <v/>
      </c>
      <c r="B31" s="20"/>
      <c r="C31" s="20"/>
      <c r="D31" s="20"/>
      <c r="E31" s="22" t="str">
        <f>IFERROR(VLOOKUP(D31,'Asset Inventory'!$A$4:$B$200,2,FALSE),"")</f>
        <v/>
      </c>
      <c r="F31" s="20"/>
      <c r="G31" s="20"/>
      <c r="H31" s="20"/>
      <c r="I31" s="20"/>
      <c r="J31" s="20"/>
      <c r="K31" s="20"/>
      <c r="L31" s="13"/>
      <c r="M31" s="13"/>
      <c r="N31" s="13"/>
      <c r="O31" s="13"/>
      <c r="P31" s="13"/>
      <c r="Q31" s="13"/>
      <c r="R31" s="13"/>
      <c r="S31" s="13"/>
      <c r="T31" s="13"/>
      <c r="U31" s="13"/>
      <c r="V31" s="13"/>
      <c r="W31" s="13"/>
    </row>
    <row r="32" spans="1:23" ht="23" x14ac:dyDescent="0.3">
      <c r="A32" s="21" t="str">
        <f t="shared" si="0"/>
        <v/>
      </c>
      <c r="B32" s="20"/>
      <c r="C32" s="20"/>
      <c r="D32" s="20"/>
      <c r="E32" s="22" t="str">
        <f>IFERROR(VLOOKUP(D32,'Asset Inventory'!$A$4:$B$200,2,FALSE),"")</f>
        <v/>
      </c>
      <c r="F32" s="20"/>
      <c r="G32" s="20"/>
      <c r="H32" s="20"/>
      <c r="I32" s="20"/>
      <c r="J32" s="20"/>
      <c r="K32" s="20"/>
      <c r="L32" s="13"/>
      <c r="M32" s="13"/>
      <c r="N32" s="13"/>
      <c r="O32" s="13"/>
      <c r="P32" s="13"/>
      <c r="Q32" s="13"/>
      <c r="R32" s="13"/>
      <c r="S32" s="13"/>
      <c r="T32" s="13"/>
      <c r="U32" s="13"/>
      <c r="V32" s="13"/>
      <c r="W32" s="13"/>
    </row>
    <row r="33" spans="1:11" x14ac:dyDescent="0.2">
      <c r="A33" s="12" t="str">
        <f t="shared" si="0"/>
        <v/>
      </c>
      <c r="B33" s="5"/>
      <c r="C33" s="5"/>
      <c r="D33" s="5"/>
      <c r="E33" s="6" t="str">
        <f>IFERROR(VLOOKUP(D33,'Asset Inventory'!$A$4:$B$200,2,FALSE),"")</f>
        <v/>
      </c>
      <c r="F33" s="5"/>
      <c r="G33" s="5"/>
      <c r="H33" s="5"/>
      <c r="I33" s="5"/>
      <c r="J33" s="5"/>
      <c r="K33" s="5"/>
    </row>
    <row r="34" spans="1:11" x14ac:dyDescent="0.2">
      <c r="A34" s="12" t="str">
        <f t="shared" si="0"/>
        <v/>
      </c>
      <c r="B34" s="5"/>
      <c r="C34" s="5"/>
      <c r="D34" s="5"/>
      <c r="E34" s="6" t="str">
        <f>IFERROR(VLOOKUP(D34,'Asset Inventory'!$A$4:$B$200,2,FALSE),"")</f>
        <v/>
      </c>
      <c r="F34" s="5"/>
      <c r="G34" s="5"/>
      <c r="H34" s="5"/>
      <c r="I34" s="5"/>
      <c r="J34" s="5"/>
      <c r="K34" s="5"/>
    </row>
    <row r="35" spans="1:11" x14ac:dyDescent="0.2">
      <c r="A35" s="12" t="str">
        <f t="shared" si="0"/>
        <v/>
      </c>
      <c r="B35" s="5"/>
      <c r="C35" s="5"/>
      <c r="D35" s="5"/>
      <c r="E35" s="6" t="str">
        <f>IFERROR(VLOOKUP(D35,'Asset Inventory'!$A$4:$B$200,2,FALSE),"")</f>
        <v/>
      </c>
      <c r="F35" s="5"/>
      <c r="G35" s="5"/>
      <c r="H35" s="5"/>
      <c r="I35" s="5"/>
      <c r="J35" s="5"/>
      <c r="K35" s="5"/>
    </row>
    <row r="36" spans="1:11" x14ac:dyDescent="0.2">
      <c r="A36" s="12" t="str">
        <f t="shared" si="0"/>
        <v/>
      </c>
      <c r="B36" s="5"/>
      <c r="C36" s="5"/>
      <c r="D36" s="5"/>
      <c r="E36" s="6" t="str">
        <f>IFERROR(VLOOKUP(D36,'Asset Inventory'!$A$4:$B$200,2,FALSE),"")</f>
        <v/>
      </c>
      <c r="F36" s="5"/>
      <c r="G36" s="5"/>
      <c r="H36" s="5"/>
      <c r="I36" s="5"/>
      <c r="J36" s="5"/>
      <c r="K36" s="5"/>
    </row>
    <row r="37" spans="1:11" x14ac:dyDescent="0.2">
      <c r="A37" s="12" t="str">
        <f t="shared" ref="A37:A68" si="2">IF(C37="","","F-"&amp;TEXT(ROW()-3,"000"))</f>
        <v/>
      </c>
      <c r="B37" s="5"/>
      <c r="C37" s="5"/>
      <c r="D37" s="5"/>
      <c r="E37" s="6" t="str">
        <f>IFERROR(VLOOKUP(D37,'Asset Inventory'!$A$4:$B$200,2,FALSE),"")</f>
        <v/>
      </c>
      <c r="F37" s="5"/>
      <c r="G37" s="5"/>
      <c r="H37" s="5"/>
      <c r="I37" s="5"/>
      <c r="J37" s="5"/>
      <c r="K37" s="5"/>
    </row>
    <row r="38" spans="1:11" x14ac:dyDescent="0.2">
      <c r="A38" s="12" t="str">
        <f t="shared" si="2"/>
        <v/>
      </c>
      <c r="B38" s="5"/>
      <c r="C38" s="5"/>
      <c r="D38" s="5"/>
      <c r="E38" s="6" t="str">
        <f>IFERROR(VLOOKUP(D38,'Asset Inventory'!$A$4:$B$200,2,FALSE),"")</f>
        <v/>
      </c>
      <c r="F38" s="5"/>
      <c r="G38" s="5"/>
      <c r="H38" s="5"/>
      <c r="I38" s="5"/>
      <c r="J38" s="5"/>
      <c r="K38" s="5"/>
    </row>
    <row r="39" spans="1:11" x14ac:dyDescent="0.2">
      <c r="A39" s="12" t="str">
        <f t="shared" si="2"/>
        <v/>
      </c>
      <c r="B39" s="5"/>
      <c r="C39" s="5"/>
      <c r="D39" s="5"/>
      <c r="E39" s="6" t="str">
        <f>IFERROR(VLOOKUP(D39,'Asset Inventory'!$A$4:$B$200,2,FALSE),"")</f>
        <v/>
      </c>
      <c r="F39" s="5"/>
      <c r="G39" s="5"/>
      <c r="H39" s="5"/>
      <c r="I39" s="5"/>
      <c r="J39" s="5"/>
      <c r="K39" s="5"/>
    </row>
    <row r="40" spans="1:11" x14ac:dyDescent="0.2">
      <c r="A40" s="12" t="str">
        <f t="shared" si="2"/>
        <v/>
      </c>
      <c r="B40" s="5"/>
      <c r="C40" s="5"/>
      <c r="D40" s="5"/>
      <c r="E40" s="6" t="str">
        <f>IFERROR(VLOOKUP(D40,'Asset Inventory'!$A$4:$B$200,2,FALSE),"")</f>
        <v/>
      </c>
      <c r="F40" s="5"/>
      <c r="G40" s="5"/>
      <c r="H40" s="5"/>
      <c r="I40" s="5"/>
      <c r="J40" s="5"/>
      <c r="K40" s="5"/>
    </row>
    <row r="41" spans="1:11" x14ac:dyDescent="0.2">
      <c r="A41" s="12" t="str">
        <f t="shared" si="2"/>
        <v/>
      </c>
      <c r="B41" s="5"/>
      <c r="C41" s="5"/>
      <c r="D41" s="5"/>
      <c r="E41" s="6" t="str">
        <f>IFERROR(VLOOKUP(D41,'Asset Inventory'!$A$4:$B$200,2,FALSE),"")</f>
        <v/>
      </c>
      <c r="F41" s="5"/>
      <c r="G41" s="5"/>
      <c r="H41" s="5"/>
      <c r="I41" s="5"/>
      <c r="J41" s="5"/>
      <c r="K41" s="5"/>
    </row>
    <row r="42" spans="1:11" x14ac:dyDescent="0.2">
      <c r="A42" s="12" t="str">
        <f t="shared" si="2"/>
        <v/>
      </c>
      <c r="B42" s="5"/>
      <c r="C42" s="5"/>
      <c r="D42" s="5"/>
      <c r="E42" s="6" t="str">
        <f>IFERROR(VLOOKUP(D42,'Asset Inventory'!$A$4:$B$200,2,FALSE),"")</f>
        <v/>
      </c>
      <c r="F42" s="5"/>
      <c r="G42" s="5"/>
      <c r="H42" s="5"/>
      <c r="I42" s="5"/>
      <c r="J42" s="5"/>
      <c r="K42" s="5"/>
    </row>
    <row r="43" spans="1:11" x14ac:dyDescent="0.2">
      <c r="A43" s="12" t="str">
        <f t="shared" si="2"/>
        <v/>
      </c>
      <c r="B43" s="5"/>
      <c r="C43" s="5"/>
      <c r="D43" s="5"/>
      <c r="E43" s="6" t="str">
        <f>IFERROR(VLOOKUP(D43,'Asset Inventory'!$A$4:$B$200,2,FALSE),"")</f>
        <v/>
      </c>
      <c r="F43" s="5"/>
      <c r="G43" s="5"/>
      <c r="H43" s="5"/>
      <c r="I43" s="5"/>
      <c r="J43" s="5"/>
      <c r="K43" s="5"/>
    </row>
    <row r="44" spans="1:11" x14ac:dyDescent="0.2">
      <c r="A44" s="12" t="str">
        <f t="shared" si="2"/>
        <v/>
      </c>
      <c r="B44" s="5"/>
      <c r="C44" s="5"/>
      <c r="D44" s="5"/>
      <c r="E44" s="6" t="str">
        <f>IFERROR(VLOOKUP(D44,'Asset Inventory'!$A$4:$B$200,2,FALSE),"")</f>
        <v/>
      </c>
      <c r="F44" s="5"/>
      <c r="G44" s="5"/>
      <c r="H44" s="5"/>
      <c r="I44" s="5"/>
      <c r="J44" s="5"/>
      <c r="K44" s="5"/>
    </row>
    <row r="45" spans="1:11" x14ac:dyDescent="0.2">
      <c r="A45" s="12" t="str">
        <f t="shared" si="2"/>
        <v/>
      </c>
      <c r="B45" s="5"/>
      <c r="C45" s="5"/>
      <c r="D45" s="5"/>
      <c r="E45" s="6" t="str">
        <f>IFERROR(VLOOKUP(D45,'Asset Inventory'!$A$4:$B$200,2,FALSE),"")</f>
        <v/>
      </c>
      <c r="F45" s="5"/>
      <c r="G45" s="5"/>
      <c r="H45" s="5"/>
      <c r="I45" s="5"/>
      <c r="J45" s="5"/>
      <c r="K45" s="5"/>
    </row>
    <row r="46" spans="1:11" x14ac:dyDescent="0.2">
      <c r="A46" s="12" t="str">
        <f t="shared" si="2"/>
        <v/>
      </c>
      <c r="B46" s="5"/>
      <c r="C46" s="5"/>
      <c r="D46" s="5"/>
      <c r="E46" s="6" t="str">
        <f>IFERROR(VLOOKUP(D46,'Asset Inventory'!$A$4:$B$200,2,FALSE),"")</f>
        <v/>
      </c>
      <c r="F46" s="5"/>
      <c r="G46" s="5"/>
      <c r="H46" s="5"/>
      <c r="I46" s="5"/>
      <c r="J46" s="5"/>
      <c r="K46" s="5"/>
    </row>
    <row r="47" spans="1:11" x14ac:dyDescent="0.2">
      <c r="A47" s="12" t="str">
        <f t="shared" si="2"/>
        <v/>
      </c>
      <c r="B47" s="5"/>
      <c r="C47" s="5"/>
      <c r="D47" s="5"/>
      <c r="E47" s="6" t="str">
        <f>IFERROR(VLOOKUP(D47,'Asset Inventory'!$A$4:$B$200,2,FALSE),"")</f>
        <v/>
      </c>
      <c r="F47" s="5"/>
      <c r="G47" s="5"/>
      <c r="H47" s="5"/>
      <c r="I47" s="5"/>
      <c r="J47" s="5"/>
      <c r="K47" s="5"/>
    </row>
    <row r="48" spans="1:11" x14ac:dyDescent="0.2">
      <c r="A48" s="12" t="str">
        <f t="shared" si="2"/>
        <v/>
      </c>
      <c r="B48" s="5"/>
      <c r="C48" s="5"/>
      <c r="D48" s="5"/>
      <c r="E48" s="6" t="str">
        <f>IFERROR(VLOOKUP(D48,'Asset Inventory'!$A$4:$B$200,2,FALSE),"")</f>
        <v/>
      </c>
      <c r="F48" s="5"/>
      <c r="G48" s="5"/>
      <c r="H48" s="5"/>
      <c r="I48" s="5"/>
      <c r="J48" s="5"/>
      <c r="K48" s="5"/>
    </row>
    <row r="49" spans="1:11" x14ac:dyDescent="0.2">
      <c r="A49" s="12" t="str">
        <f t="shared" si="2"/>
        <v/>
      </c>
      <c r="B49" s="5"/>
      <c r="C49" s="5"/>
      <c r="D49" s="5"/>
      <c r="E49" s="6" t="str">
        <f>IFERROR(VLOOKUP(D49,'Asset Inventory'!$A$4:$B$200,2,FALSE),"")</f>
        <v/>
      </c>
      <c r="F49" s="5"/>
      <c r="G49" s="5"/>
      <c r="H49" s="5"/>
      <c r="I49" s="5"/>
      <c r="J49" s="5"/>
      <c r="K49" s="5"/>
    </row>
    <row r="50" spans="1:11" x14ac:dyDescent="0.2">
      <c r="A50" s="12" t="str">
        <f t="shared" si="2"/>
        <v/>
      </c>
      <c r="B50" s="5"/>
      <c r="C50" s="5"/>
      <c r="D50" s="5"/>
      <c r="E50" s="6" t="str">
        <f>IFERROR(VLOOKUP(D50,'Asset Inventory'!$A$4:$B$200,2,FALSE),"")</f>
        <v/>
      </c>
      <c r="F50" s="5"/>
      <c r="G50" s="5"/>
      <c r="H50" s="5"/>
      <c r="I50" s="5"/>
      <c r="J50" s="5"/>
      <c r="K50" s="5"/>
    </row>
    <row r="51" spans="1:11" x14ac:dyDescent="0.2">
      <c r="A51" s="12" t="str">
        <f t="shared" si="2"/>
        <v/>
      </c>
      <c r="B51" s="5"/>
      <c r="C51" s="5"/>
      <c r="D51" s="5"/>
      <c r="E51" s="6" t="str">
        <f>IFERROR(VLOOKUP(D51,'Asset Inventory'!$A$4:$B$200,2,FALSE),"")</f>
        <v/>
      </c>
      <c r="F51" s="5"/>
      <c r="G51" s="5"/>
      <c r="H51" s="5"/>
      <c r="I51" s="5"/>
      <c r="J51" s="5"/>
      <c r="K51" s="5"/>
    </row>
    <row r="52" spans="1:11" x14ac:dyDescent="0.2">
      <c r="A52" s="12" t="str">
        <f t="shared" si="2"/>
        <v/>
      </c>
      <c r="B52" s="5"/>
      <c r="C52" s="5"/>
      <c r="D52" s="5"/>
      <c r="E52" s="6" t="str">
        <f>IFERROR(VLOOKUP(D52,'Asset Inventory'!$A$4:$B$200,2,FALSE),"")</f>
        <v/>
      </c>
      <c r="F52" s="5"/>
      <c r="G52" s="5"/>
      <c r="H52" s="5"/>
      <c r="I52" s="5"/>
      <c r="J52" s="5"/>
      <c r="K52" s="5"/>
    </row>
    <row r="53" spans="1:11" x14ac:dyDescent="0.2">
      <c r="A53" s="12" t="str">
        <f t="shared" si="2"/>
        <v/>
      </c>
      <c r="B53" s="5"/>
      <c r="C53" s="5"/>
      <c r="D53" s="5"/>
      <c r="E53" s="6" t="str">
        <f>IFERROR(VLOOKUP(D53,'Asset Inventory'!$A$4:$B$200,2,FALSE),"")</f>
        <v/>
      </c>
      <c r="F53" s="5"/>
      <c r="G53" s="5"/>
      <c r="H53" s="5"/>
      <c r="I53" s="5"/>
      <c r="J53" s="5"/>
      <c r="K53" s="5"/>
    </row>
    <row r="54" spans="1:11" x14ac:dyDescent="0.2">
      <c r="A54" s="12" t="str">
        <f t="shared" si="2"/>
        <v/>
      </c>
      <c r="B54" s="5"/>
      <c r="C54" s="5"/>
      <c r="D54" s="5"/>
      <c r="E54" s="6" t="str">
        <f>IFERROR(VLOOKUP(D54,'Asset Inventory'!$A$4:$B$200,2,FALSE),"")</f>
        <v/>
      </c>
      <c r="F54" s="5"/>
      <c r="G54" s="5"/>
      <c r="H54" s="5"/>
      <c r="I54" s="5"/>
      <c r="J54" s="5"/>
      <c r="K54" s="5"/>
    </row>
    <row r="55" spans="1:11" x14ac:dyDescent="0.2">
      <c r="A55" s="12" t="str">
        <f t="shared" si="2"/>
        <v/>
      </c>
      <c r="B55" s="5"/>
      <c r="C55" s="5"/>
      <c r="D55" s="5"/>
      <c r="E55" s="6" t="str">
        <f>IFERROR(VLOOKUP(D55,'Asset Inventory'!$A$4:$B$200,2,FALSE),"")</f>
        <v/>
      </c>
      <c r="F55" s="5"/>
      <c r="G55" s="5"/>
      <c r="H55" s="5"/>
      <c r="I55" s="5"/>
      <c r="J55" s="5"/>
      <c r="K55" s="5"/>
    </row>
    <row r="56" spans="1:11" x14ac:dyDescent="0.2">
      <c r="A56" s="12" t="str">
        <f t="shared" si="2"/>
        <v/>
      </c>
      <c r="B56" s="5"/>
      <c r="C56" s="5"/>
      <c r="D56" s="5"/>
      <c r="E56" s="6" t="str">
        <f>IFERROR(VLOOKUP(D56,'Asset Inventory'!$A$4:$B$200,2,FALSE),"")</f>
        <v/>
      </c>
      <c r="F56" s="5"/>
      <c r="G56" s="5"/>
      <c r="H56" s="5"/>
      <c r="I56" s="5"/>
      <c r="J56" s="5"/>
      <c r="K56" s="5"/>
    </row>
    <row r="57" spans="1:11" x14ac:dyDescent="0.2">
      <c r="A57" s="12" t="str">
        <f t="shared" si="2"/>
        <v/>
      </c>
      <c r="B57" s="5"/>
      <c r="C57" s="5"/>
      <c r="D57" s="5"/>
      <c r="E57" s="6" t="str">
        <f>IFERROR(VLOOKUP(D57,'Asset Inventory'!$A$4:$B$200,2,FALSE),"")</f>
        <v/>
      </c>
      <c r="F57" s="5"/>
      <c r="G57" s="5"/>
      <c r="H57" s="5"/>
      <c r="I57" s="5"/>
      <c r="J57" s="5"/>
      <c r="K57" s="5"/>
    </row>
    <row r="58" spans="1:11" x14ac:dyDescent="0.2">
      <c r="A58" s="12" t="str">
        <f t="shared" si="2"/>
        <v/>
      </c>
      <c r="B58" s="5"/>
      <c r="C58" s="5"/>
      <c r="D58" s="5"/>
      <c r="E58" s="6" t="str">
        <f>IFERROR(VLOOKUP(D58,'Asset Inventory'!$A$4:$B$200,2,FALSE),"")</f>
        <v/>
      </c>
      <c r="F58" s="5"/>
      <c r="G58" s="5"/>
      <c r="H58" s="5"/>
      <c r="I58" s="5"/>
      <c r="J58" s="5"/>
      <c r="K58" s="5"/>
    </row>
    <row r="59" spans="1:11" x14ac:dyDescent="0.2">
      <c r="A59" s="12" t="str">
        <f t="shared" si="2"/>
        <v/>
      </c>
      <c r="B59" s="5"/>
      <c r="C59" s="5"/>
      <c r="D59" s="5"/>
      <c r="E59" s="6" t="str">
        <f>IFERROR(VLOOKUP(D59,'Asset Inventory'!$A$4:$B$200,2,FALSE),"")</f>
        <v/>
      </c>
      <c r="F59" s="5"/>
      <c r="G59" s="5"/>
      <c r="H59" s="5"/>
      <c r="I59" s="5"/>
      <c r="J59" s="5"/>
      <c r="K59" s="5"/>
    </row>
    <row r="60" spans="1:11" x14ac:dyDescent="0.2">
      <c r="A60" s="12" t="str">
        <f t="shared" si="2"/>
        <v/>
      </c>
      <c r="B60" s="5"/>
      <c r="C60" s="5"/>
      <c r="D60" s="5"/>
      <c r="E60" s="6" t="str">
        <f>IFERROR(VLOOKUP(D60,'Asset Inventory'!$A$4:$B$200,2,FALSE),"")</f>
        <v/>
      </c>
      <c r="F60" s="5"/>
      <c r="G60" s="5"/>
      <c r="H60" s="5"/>
      <c r="I60" s="5"/>
      <c r="J60" s="5"/>
      <c r="K60" s="5"/>
    </row>
    <row r="61" spans="1:11" x14ac:dyDescent="0.2">
      <c r="A61" s="12" t="str">
        <f t="shared" si="2"/>
        <v/>
      </c>
      <c r="B61" s="5"/>
      <c r="C61" s="5"/>
      <c r="D61" s="5"/>
      <c r="E61" s="6" t="str">
        <f>IFERROR(VLOOKUP(D61,'Asset Inventory'!$A$4:$B$200,2,FALSE),"")</f>
        <v/>
      </c>
      <c r="F61" s="5"/>
      <c r="G61" s="5"/>
      <c r="H61" s="5"/>
      <c r="I61" s="5"/>
      <c r="J61" s="5"/>
      <c r="K61" s="5"/>
    </row>
    <row r="62" spans="1:11" x14ac:dyDescent="0.2">
      <c r="A62" s="12" t="str">
        <f t="shared" si="2"/>
        <v/>
      </c>
      <c r="B62" s="5"/>
      <c r="C62" s="5"/>
      <c r="D62" s="5"/>
      <c r="E62" s="6" t="str">
        <f>IFERROR(VLOOKUP(D62,'Asset Inventory'!$A$4:$B$200,2,FALSE),"")</f>
        <v/>
      </c>
      <c r="F62" s="5"/>
      <c r="G62" s="5"/>
      <c r="H62" s="5"/>
      <c r="I62" s="5"/>
      <c r="J62" s="5"/>
      <c r="K62" s="5"/>
    </row>
    <row r="63" spans="1:11" x14ac:dyDescent="0.2">
      <c r="A63" s="12" t="str">
        <f t="shared" si="2"/>
        <v/>
      </c>
      <c r="B63" s="5"/>
      <c r="C63" s="5"/>
      <c r="D63" s="5"/>
      <c r="E63" s="6" t="str">
        <f>IFERROR(VLOOKUP(D63,'Asset Inventory'!$A$4:$B$200,2,FALSE),"")</f>
        <v/>
      </c>
      <c r="F63" s="5"/>
      <c r="G63" s="5"/>
      <c r="H63" s="5"/>
      <c r="I63" s="5"/>
      <c r="J63" s="5"/>
      <c r="K63" s="5"/>
    </row>
    <row r="64" spans="1:11" x14ac:dyDescent="0.2">
      <c r="A64" s="12" t="str">
        <f t="shared" si="2"/>
        <v/>
      </c>
      <c r="B64" s="5"/>
      <c r="C64" s="5"/>
      <c r="D64" s="5"/>
      <c r="E64" s="6" t="str">
        <f>IFERROR(VLOOKUP(D64,'Asset Inventory'!$A$4:$B$200,2,FALSE),"")</f>
        <v/>
      </c>
      <c r="F64" s="5"/>
      <c r="G64" s="5"/>
      <c r="H64" s="5"/>
      <c r="I64" s="5"/>
      <c r="J64" s="5"/>
      <c r="K64" s="5"/>
    </row>
    <row r="65" spans="1:11" x14ac:dyDescent="0.2">
      <c r="A65" s="12" t="str">
        <f t="shared" si="2"/>
        <v/>
      </c>
      <c r="B65" s="5"/>
      <c r="C65" s="5"/>
      <c r="D65" s="5"/>
      <c r="E65" s="6" t="str">
        <f>IFERROR(VLOOKUP(D65,'Asset Inventory'!$A$4:$B$200,2,FALSE),"")</f>
        <v/>
      </c>
      <c r="F65" s="5"/>
      <c r="G65" s="5"/>
      <c r="H65" s="5"/>
      <c r="I65" s="5"/>
      <c r="J65" s="5"/>
      <c r="K65" s="5"/>
    </row>
    <row r="66" spans="1:11" x14ac:dyDescent="0.2">
      <c r="A66" s="12" t="str">
        <f t="shared" si="2"/>
        <v/>
      </c>
      <c r="B66" s="5"/>
      <c r="C66" s="5"/>
      <c r="D66" s="5"/>
      <c r="E66" s="6" t="str">
        <f>IFERROR(VLOOKUP(D66,'Asset Inventory'!$A$4:$B$200,2,FALSE),"")</f>
        <v/>
      </c>
      <c r="F66" s="5"/>
      <c r="G66" s="5"/>
      <c r="H66" s="5"/>
      <c r="I66" s="5"/>
      <c r="J66" s="5"/>
      <c r="K66" s="5"/>
    </row>
    <row r="67" spans="1:11" x14ac:dyDescent="0.2">
      <c r="A67" s="12" t="str">
        <f t="shared" si="2"/>
        <v/>
      </c>
      <c r="B67" s="5"/>
      <c r="C67" s="5"/>
      <c r="D67" s="5"/>
      <c r="E67" s="6" t="str">
        <f>IFERROR(VLOOKUP(D67,'Asset Inventory'!$A$4:$B$200,2,FALSE),"")</f>
        <v/>
      </c>
      <c r="F67" s="5"/>
      <c r="G67" s="5"/>
      <c r="H67" s="5"/>
      <c r="I67" s="5"/>
      <c r="J67" s="5"/>
      <c r="K67" s="5"/>
    </row>
    <row r="68" spans="1:11" x14ac:dyDescent="0.2">
      <c r="A68" s="12" t="str">
        <f t="shared" si="2"/>
        <v/>
      </c>
      <c r="B68" s="5"/>
      <c r="C68" s="5"/>
      <c r="D68" s="5"/>
      <c r="E68" s="6" t="str">
        <f>IFERROR(VLOOKUP(D68,'Asset Inventory'!$A$4:$B$200,2,FALSE),"")</f>
        <v/>
      </c>
      <c r="F68" s="5"/>
      <c r="G68" s="5"/>
      <c r="H68" s="5"/>
      <c r="I68" s="5"/>
      <c r="J68" s="5"/>
      <c r="K68" s="5"/>
    </row>
    <row r="69" spans="1:11" x14ac:dyDescent="0.2">
      <c r="A69" s="12" t="str">
        <f t="shared" ref="A69:A100" si="3">IF(C69="","","F-"&amp;TEXT(ROW()-3,"000"))</f>
        <v/>
      </c>
      <c r="B69" s="5"/>
      <c r="C69" s="5"/>
      <c r="D69" s="5"/>
      <c r="E69" s="6" t="str">
        <f>IFERROR(VLOOKUP(D69,'Asset Inventory'!$A$4:$B$200,2,FALSE),"")</f>
        <v/>
      </c>
      <c r="F69" s="5"/>
      <c r="G69" s="5"/>
      <c r="H69" s="5"/>
      <c r="I69" s="5"/>
      <c r="J69" s="5"/>
      <c r="K69" s="5"/>
    </row>
    <row r="70" spans="1:11" x14ac:dyDescent="0.2">
      <c r="A70" s="12" t="str">
        <f t="shared" si="3"/>
        <v/>
      </c>
      <c r="B70" s="5"/>
      <c r="C70" s="5"/>
      <c r="D70" s="5"/>
      <c r="E70" s="6" t="str">
        <f>IFERROR(VLOOKUP(D70,'Asset Inventory'!$A$4:$B$200,2,FALSE),"")</f>
        <v/>
      </c>
      <c r="F70" s="5"/>
      <c r="G70" s="5"/>
      <c r="H70" s="5"/>
      <c r="I70" s="5"/>
      <c r="J70" s="5"/>
      <c r="K70" s="5"/>
    </row>
    <row r="71" spans="1:11" x14ac:dyDescent="0.2">
      <c r="A71" s="12" t="str">
        <f t="shared" si="3"/>
        <v/>
      </c>
      <c r="B71" s="5"/>
      <c r="C71" s="5"/>
      <c r="D71" s="5"/>
      <c r="E71" s="6" t="str">
        <f>IFERROR(VLOOKUP(D71,'Asset Inventory'!$A$4:$B$200,2,FALSE),"")</f>
        <v/>
      </c>
      <c r="F71" s="5"/>
      <c r="G71" s="5"/>
      <c r="H71" s="5"/>
      <c r="I71" s="5"/>
      <c r="J71" s="5"/>
      <c r="K71" s="5"/>
    </row>
    <row r="72" spans="1:11" x14ac:dyDescent="0.2">
      <c r="A72" s="12" t="str">
        <f t="shared" si="3"/>
        <v/>
      </c>
      <c r="B72" s="5"/>
      <c r="C72" s="5"/>
      <c r="D72" s="5"/>
      <c r="E72" s="6" t="str">
        <f>IFERROR(VLOOKUP(D72,'Asset Inventory'!$A$4:$B$200,2,FALSE),"")</f>
        <v/>
      </c>
      <c r="F72" s="5"/>
      <c r="G72" s="5"/>
      <c r="H72" s="5"/>
      <c r="I72" s="5"/>
      <c r="J72" s="5"/>
      <c r="K72" s="5"/>
    </row>
    <row r="73" spans="1:11" x14ac:dyDescent="0.2">
      <c r="A73" s="12" t="str">
        <f t="shared" si="3"/>
        <v/>
      </c>
      <c r="B73" s="5"/>
      <c r="C73" s="5"/>
      <c r="D73" s="5"/>
      <c r="E73" s="6" t="str">
        <f>IFERROR(VLOOKUP(D73,'Asset Inventory'!$A$4:$B$200,2,FALSE),"")</f>
        <v/>
      </c>
      <c r="F73" s="5"/>
      <c r="G73" s="5"/>
      <c r="H73" s="5"/>
      <c r="I73" s="5"/>
      <c r="J73" s="5"/>
      <c r="K73" s="5"/>
    </row>
    <row r="74" spans="1:11" x14ac:dyDescent="0.2">
      <c r="A74" s="12" t="str">
        <f t="shared" si="3"/>
        <v/>
      </c>
      <c r="B74" s="5"/>
      <c r="C74" s="5"/>
      <c r="D74" s="5"/>
      <c r="E74" s="6" t="str">
        <f>IFERROR(VLOOKUP(D74,'Asset Inventory'!$A$4:$B$200,2,FALSE),"")</f>
        <v/>
      </c>
      <c r="F74" s="5"/>
      <c r="G74" s="5"/>
      <c r="H74" s="5"/>
      <c r="I74" s="5"/>
      <c r="J74" s="5"/>
      <c r="K74" s="5"/>
    </row>
    <row r="75" spans="1:11" x14ac:dyDescent="0.2">
      <c r="A75" s="12" t="str">
        <f t="shared" si="3"/>
        <v/>
      </c>
      <c r="B75" s="5"/>
      <c r="C75" s="5"/>
      <c r="D75" s="5"/>
      <c r="E75" s="6" t="str">
        <f>IFERROR(VLOOKUP(D75,'Asset Inventory'!$A$4:$B$200,2,FALSE),"")</f>
        <v/>
      </c>
      <c r="F75" s="5"/>
      <c r="G75" s="5"/>
      <c r="H75" s="5"/>
      <c r="I75" s="5"/>
      <c r="J75" s="5"/>
      <c r="K75" s="5"/>
    </row>
    <row r="76" spans="1:11" x14ac:dyDescent="0.2">
      <c r="A76" s="12" t="str">
        <f t="shared" si="3"/>
        <v/>
      </c>
      <c r="B76" s="5"/>
      <c r="C76" s="5"/>
      <c r="D76" s="5"/>
      <c r="E76" s="6" t="str">
        <f>IFERROR(VLOOKUP(D76,'Asset Inventory'!$A$4:$B$200,2,FALSE),"")</f>
        <v/>
      </c>
      <c r="F76" s="5"/>
      <c r="G76" s="5"/>
      <c r="H76" s="5"/>
      <c r="I76" s="5"/>
      <c r="J76" s="5"/>
      <c r="K76" s="5"/>
    </row>
    <row r="77" spans="1:11" x14ac:dyDescent="0.2">
      <c r="A77" s="12" t="str">
        <f t="shared" si="3"/>
        <v/>
      </c>
      <c r="B77" s="5"/>
      <c r="C77" s="5"/>
      <c r="D77" s="5"/>
      <c r="E77" s="6" t="str">
        <f>IFERROR(VLOOKUP(D77,'Asset Inventory'!$A$4:$B$200,2,FALSE),"")</f>
        <v/>
      </c>
      <c r="F77" s="5"/>
      <c r="G77" s="5"/>
      <c r="H77" s="5"/>
      <c r="I77" s="5"/>
      <c r="J77" s="5"/>
      <c r="K77" s="5"/>
    </row>
    <row r="78" spans="1:11" x14ac:dyDescent="0.2">
      <c r="A78" s="12" t="str">
        <f t="shared" si="3"/>
        <v/>
      </c>
      <c r="B78" s="5"/>
      <c r="C78" s="5"/>
      <c r="D78" s="5"/>
      <c r="E78" s="6" t="str">
        <f>IFERROR(VLOOKUP(D78,'Asset Inventory'!$A$4:$B$200,2,FALSE),"")</f>
        <v/>
      </c>
      <c r="F78" s="5"/>
      <c r="G78" s="5"/>
      <c r="H78" s="5"/>
      <c r="I78" s="5"/>
      <c r="J78" s="5"/>
      <c r="K78" s="5"/>
    </row>
    <row r="79" spans="1:11" x14ac:dyDescent="0.2">
      <c r="A79" s="12" t="str">
        <f t="shared" si="3"/>
        <v/>
      </c>
      <c r="B79" s="5"/>
      <c r="C79" s="5"/>
      <c r="D79" s="5"/>
      <c r="E79" s="6" t="str">
        <f>IFERROR(VLOOKUP(D79,'Asset Inventory'!$A$4:$B$200,2,FALSE),"")</f>
        <v/>
      </c>
      <c r="F79" s="5"/>
      <c r="G79" s="5"/>
      <c r="H79" s="5"/>
      <c r="I79" s="5"/>
      <c r="J79" s="5"/>
      <c r="K79" s="5"/>
    </row>
    <row r="80" spans="1:11" x14ac:dyDescent="0.2">
      <c r="A80" s="12" t="str">
        <f t="shared" si="3"/>
        <v/>
      </c>
      <c r="B80" s="5"/>
      <c r="C80" s="5"/>
      <c r="D80" s="5"/>
      <c r="E80" s="6" t="str">
        <f>IFERROR(VLOOKUP(D80,'Asset Inventory'!$A$4:$B$200,2,FALSE),"")</f>
        <v/>
      </c>
      <c r="F80" s="5"/>
      <c r="G80" s="5"/>
      <c r="H80" s="5"/>
      <c r="I80" s="5"/>
      <c r="J80" s="5"/>
      <c r="K80" s="5"/>
    </row>
    <row r="81" spans="1:11" x14ac:dyDescent="0.2">
      <c r="A81" s="12" t="str">
        <f t="shared" si="3"/>
        <v/>
      </c>
      <c r="B81" s="5"/>
      <c r="C81" s="5"/>
      <c r="D81" s="5"/>
      <c r="E81" s="6" t="str">
        <f>IFERROR(VLOOKUP(D81,'Asset Inventory'!$A$4:$B$200,2,FALSE),"")</f>
        <v/>
      </c>
      <c r="F81" s="5"/>
      <c r="G81" s="5"/>
      <c r="H81" s="5"/>
      <c r="I81" s="5"/>
      <c r="J81" s="5"/>
      <c r="K81" s="5"/>
    </row>
    <row r="82" spans="1:11" x14ac:dyDescent="0.2">
      <c r="A82" s="12" t="str">
        <f t="shared" si="3"/>
        <v/>
      </c>
      <c r="B82" s="5"/>
      <c r="C82" s="5"/>
      <c r="D82" s="5"/>
      <c r="E82" s="6" t="str">
        <f>IFERROR(VLOOKUP(D82,'Asset Inventory'!$A$4:$B$200,2,FALSE),"")</f>
        <v/>
      </c>
      <c r="F82" s="5"/>
      <c r="G82" s="5"/>
      <c r="H82" s="5"/>
      <c r="I82" s="5"/>
      <c r="J82" s="5"/>
      <c r="K82" s="5"/>
    </row>
    <row r="83" spans="1:11" x14ac:dyDescent="0.2">
      <c r="A83" s="12" t="str">
        <f t="shared" si="3"/>
        <v/>
      </c>
      <c r="B83" s="5"/>
      <c r="C83" s="5"/>
      <c r="D83" s="5"/>
      <c r="E83" s="6" t="str">
        <f>IFERROR(VLOOKUP(D83,'Asset Inventory'!$A$4:$B$200,2,FALSE),"")</f>
        <v/>
      </c>
      <c r="F83" s="5"/>
      <c r="G83" s="5"/>
      <c r="H83" s="5"/>
      <c r="I83" s="5"/>
      <c r="J83" s="5"/>
      <c r="K83" s="5"/>
    </row>
    <row r="84" spans="1:11" x14ac:dyDescent="0.2">
      <c r="A84" s="12" t="str">
        <f t="shared" si="3"/>
        <v/>
      </c>
      <c r="B84" s="5"/>
      <c r="C84" s="5"/>
      <c r="D84" s="5"/>
      <c r="E84" s="6" t="str">
        <f>IFERROR(VLOOKUP(D84,'Asset Inventory'!$A$4:$B$200,2,FALSE),"")</f>
        <v/>
      </c>
      <c r="F84" s="5"/>
      <c r="G84" s="5"/>
      <c r="H84" s="5"/>
      <c r="I84" s="5"/>
      <c r="J84" s="5"/>
      <c r="K84" s="5"/>
    </row>
    <row r="85" spans="1:11" x14ac:dyDescent="0.2">
      <c r="A85" s="12" t="str">
        <f t="shared" si="3"/>
        <v/>
      </c>
      <c r="B85" s="5"/>
      <c r="C85" s="5"/>
      <c r="D85" s="5"/>
      <c r="E85" s="6" t="str">
        <f>IFERROR(VLOOKUP(D85,'Asset Inventory'!$A$4:$B$200,2,FALSE),"")</f>
        <v/>
      </c>
      <c r="F85" s="5"/>
      <c r="G85" s="5"/>
      <c r="H85" s="5"/>
      <c r="I85" s="5"/>
      <c r="J85" s="5"/>
      <c r="K85" s="5"/>
    </row>
    <row r="86" spans="1:11" x14ac:dyDescent="0.2">
      <c r="A86" s="12" t="str">
        <f t="shared" si="3"/>
        <v/>
      </c>
      <c r="B86" s="5"/>
      <c r="C86" s="5"/>
      <c r="D86" s="5"/>
      <c r="E86" s="6" t="str">
        <f>IFERROR(VLOOKUP(D86,'Asset Inventory'!$A$4:$B$200,2,FALSE),"")</f>
        <v/>
      </c>
      <c r="F86" s="5"/>
      <c r="G86" s="5"/>
      <c r="H86" s="5"/>
      <c r="I86" s="5"/>
      <c r="J86" s="5"/>
      <c r="K86" s="5"/>
    </row>
    <row r="87" spans="1:11" x14ac:dyDescent="0.2">
      <c r="A87" s="12" t="str">
        <f t="shared" si="3"/>
        <v/>
      </c>
      <c r="B87" s="5"/>
      <c r="C87" s="5"/>
      <c r="D87" s="5"/>
      <c r="E87" s="6" t="str">
        <f>IFERROR(VLOOKUP(D87,'Asset Inventory'!$A$4:$B$200,2,FALSE),"")</f>
        <v/>
      </c>
      <c r="F87" s="5"/>
      <c r="G87" s="5"/>
      <c r="H87" s="5"/>
      <c r="I87" s="5"/>
      <c r="J87" s="5"/>
      <c r="K87" s="5"/>
    </row>
    <row r="88" spans="1:11" x14ac:dyDescent="0.2">
      <c r="A88" s="12" t="str">
        <f t="shared" si="3"/>
        <v/>
      </c>
      <c r="B88" s="5"/>
      <c r="C88" s="5"/>
      <c r="D88" s="5"/>
      <c r="E88" s="6" t="str">
        <f>IFERROR(VLOOKUP(D88,'Asset Inventory'!$A$4:$B$200,2,FALSE),"")</f>
        <v/>
      </c>
      <c r="F88" s="5"/>
      <c r="G88" s="5"/>
      <c r="H88" s="5"/>
      <c r="I88" s="5"/>
      <c r="J88" s="5"/>
      <c r="K88" s="5"/>
    </row>
    <row r="89" spans="1:11" x14ac:dyDescent="0.2">
      <c r="A89" s="12" t="str">
        <f t="shared" si="3"/>
        <v/>
      </c>
      <c r="B89" s="5"/>
      <c r="C89" s="5"/>
      <c r="D89" s="5"/>
      <c r="E89" s="6" t="str">
        <f>IFERROR(VLOOKUP(D89,'Asset Inventory'!$A$4:$B$200,2,FALSE),"")</f>
        <v/>
      </c>
      <c r="F89" s="5"/>
      <c r="G89" s="5"/>
      <c r="H89" s="5"/>
      <c r="I89" s="5"/>
      <c r="J89" s="5"/>
      <c r="K89" s="5"/>
    </row>
    <row r="90" spans="1:11" x14ac:dyDescent="0.2">
      <c r="A90" s="12" t="str">
        <f t="shared" si="3"/>
        <v/>
      </c>
      <c r="B90" s="5"/>
      <c r="C90" s="5"/>
      <c r="D90" s="5"/>
      <c r="E90" s="6" t="str">
        <f>IFERROR(VLOOKUP(D90,'Asset Inventory'!$A$4:$B$200,2,FALSE),"")</f>
        <v/>
      </c>
      <c r="F90" s="5"/>
      <c r="G90" s="5"/>
      <c r="H90" s="5"/>
      <c r="I90" s="5"/>
      <c r="J90" s="5"/>
      <c r="K90" s="5"/>
    </row>
    <row r="91" spans="1:11" x14ac:dyDescent="0.2">
      <c r="A91" s="12" t="str">
        <f t="shared" si="3"/>
        <v/>
      </c>
      <c r="B91" s="5"/>
      <c r="C91" s="5"/>
      <c r="D91" s="5"/>
      <c r="E91" s="6" t="str">
        <f>IFERROR(VLOOKUP(D91,'Asset Inventory'!$A$4:$B$200,2,FALSE),"")</f>
        <v/>
      </c>
      <c r="F91" s="5"/>
      <c r="G91" s="5"/>
      <c r="H91" s="5"/>
      <c r="I91" s="5"/>
      <c r="J91" s="5"/>
      <c r="K91" s="5"/>
    </row>
    <row r="92" spans="1:11" x14ac:dyDescent="0.2">
      <c r="A92" s="12" t="str">
        <f t="shared" si="3"/>
        <v/>
      </c>
      <c r="B92" s="5"/>
      <c r="C92" s="5"/>
      <c r="D92" s="5"/>
      <c r="E92" s="6" t="str">
        <f>IFERROR(VLOOKUP(D92,'Asset Inventory'!$A$4:$B$200,2,FALSE),"")</f>
        <v/>
      </c>
      <c r="F92" s="5"/>
      <c r="G92" s="5"/>
      <c r="H92" s="5"/>
      <c r="I92" s="5"/>
      <c r="J92" s="5"/>
      <c r="K92" s="5"/>
    </row>
    <row r="93" spans="1:11" x14ac:dyDescent="0.2">
      <c r="A93" s="12" t="str">
        <f t="shared" si="3"/>
        <v/>
      </c>
      <c r="B93" s="5"/>
      <c r="C93" s="5"/>
      <c r="D93" s="5"/>
      <c r="E93" s="6" t="str">
        <f>IFERROR(VLOOKUP(D93,'Asset Inventory'!$A$4:$B$200,2,FALSE),"")</f>
        <v/>
      </c>
      <c r="F93" s="5"/>
      <c r="G93" s="5"/>
      <c r="H93" s="5"/>
      <c r="I93" s="5"/>
      <c r="J93" s="5"/>
      <c r="K93" s="5"/>
    </row>
    <row r="94" spans="1:11" x14ac:dyDescent="0.2">
      <c r="A94" s="12" t="str">
        <f t="shared" si="3"/>
        <v/>
      </c>
      <c r="B94" s="5"/>
      <c r="C94" s="5"/>
      <c r="D94" s="5"/>
      <c r="E94" s="6" t="str">
        <f>IFERROR(VLOOKUP(D94,'Asset Inventory'!$A$4:$B$200,2,FALSE),"")</f>
        <v/>
      </c>
      <c r="F94" s="5"/>
      <c r="G94" s="5"/>
      <c r="H94" s="5"/>
      <c r="I94" s="5"/>
      <c r="J94" s="5"/>
      <c r="K94" s="5"/>
    </row>
    <row r="95" spans="1:11" x14ac:dyDescent="0.2">
      <c r="A95" s="12" t="str">
        <f t="shared" si="3"/>
        <v/>
      </c>
      <c r="B95" s="5"/>
      <c r="C95" s="5"/>
      <c r="D95" s="5"/>
      <c r="E95" s="6" t="str">
        <f>IFERROR(VLOOKUP(D95,'Asset Inventory'!$A$4:$B$200,2,FALSE),"")</f>
        <v/>
      </c>
      <c r="F95" s="5"/>
      <c r="G95" s="5"/>
      <c r="H95" s="5"/>
      <c r="I95" s="5"/>
      <c r="J95" s="5"/>
      <c r="K95" s="5"/>
    </row>
    <row r="96" spans="1:11" x14ac:dyDescent="0.2">
      <c r="A96" s="12" t="str">
        <f t="shared" si="3"/>
        <v/>
      </c>
      <c r="B96" s="5"/>
      <c r="C96" s="5"/>
      <c r="D96" s="5"/>
      <c r="E96" s="6" t="str">
        <f>IFERROR(VLOOKUP(D96,'Asset Inventory'!$A$4:$B$200,2,FALSE),"")</f>
        <v/>
      </c>
      <c r="F96" s="5"/>
      <c r="G96" s="5"/>
      <c r="H96" s="5"/>
      <c r="I96" s="5"/>
      <c r="J96" s="5"/>
      <c r="K96" s="5"/>
    </row>
    <row r="97" spans="1:11" x14ac:dyDescent="0.2">
      <c r="A97" s="12" t="str">
        <f t="shared" si="3"/>
        <v/>
      </c>
      <c r="B97" s="5"/>
      <c r="C97" s="5"/>
      <c r="D97" s="5"/>
      <c r="E97" s="6" t="str">
        <f>IFERROR(VLOOKUP(D97,'Asset Inventory'!$A$4:$B$200,2,FALSE),"")</f>
        <v/>
      </c>
      <c r="F97" s="5"/>
      <c r="G97" s="5"/>
      <c r="H97" s="5"/>
      <c r="I97" s="5"/>
      <c r="J97" s="5"/>
      <c r="K97" s="5"/>
    </row>
    <row r="98" spans="1:11" x14ac:dyDescent="0.2">
      <c r="A98" s="12" t="str">
        <f t="shared" si="3"/>
        <v/>
      </c>
      <c r="B98" s="5"/>
      <c r="C98" s="5"/>
      <c r="D98" s="5"/>
      <c r="E98" s="6" t="str">
        <f>IFERROR(VLOOKUP(D98,'Asset Inventory'!$A$4:$B$200,2,FALSE),"")</f>
        <v/>
      </c>
      <c r="F98" s="5"/>
      <c r="G98" s="5"/>
      <c r="H98" s="5"/>
      <c r="I98" s="5"/>
      <c r="J98" s="5"/>
      <c r="K98" s="5"/>
    </row>
    <row r="99" spans="1:11" x14ac:dyDescent="0.2">
      <c r="A99" s="12" t="str">
        <f t="shared" si="3"/>
        <v/>
      </c>
      <c r="B99" s="5"/>
      <c r="C99" s="5"/>
      <c r="D99" s="5"/>
      <c r="E99" s="6" t="str">
        <f>IFERROR(VLOOKUP(D99,'Asset Inventory'!$A$4:$B$200,2,FALSE),"")</f>
        <v/>
      </c>
      <c r="F99" s="5"/>
      <c r="G99" s="5"/>
      <c r="H99" s="5"/>
      <c r="I99" s="5"/>
      <c r="J99" s="5"/>
      <c r="K99" s="5"/>
    </row>
    <row r="100" spans="1:11" x14ac:dyDescent="0.2">
      <c r="A100" s="12" t="str">
        <f t="shared" si="3"/>
        <v/>
      </c>
      <c r="B100" s="5"/>
      <c r="C100" s="5"/>
      <c r="D100" s="5"/>
      <c r="E100" s="6" t="str">
        <f>IFERROR(VLOOKUP(D100,'Asset Inventory'!$A$4:$B$200,2,FALSE),"")</f>
        <v/>
      </c>
      <c r="F100" s="5"/>
      <c r="G100" s="5"/>
      <c r="H100" s="5"/>
      <c r="I100" s="5"/>
      <c r="J100" s="5"/>
      <c r="K100" s="5"/>
    </row>
    <row r="101" spans="1:11" x14ac:dyDescent="0.2">
      <c r="A101" s="12" t="str">
        <f t="shared" ref="A101:A121" si="4">IF(C101="","","F-"&amp;TEXT(ROW()-3,"000"))</f>
        <v/>
      </c>
      <c r="B101" s="5"/>
      <c r="C101" s="5"/>
      <c r="D101" s="5"/>
      <c r="E101" s="6" t="str">
        <f>IFERROR(VLOOKUP(D101,'Asset Inventory'!$A$4:$B$200,2,FALSE),"")</f>
        <v/>
      </c>
      <c r="F101" s="5"/>
      <c r="G101" s="5"/>
      <c r="H101" s="5"/>
      <c r="I101" s="5"/>
      <c r="J101" s="5"/>
      <c r="K101" s="5"/>
    </row>
    <row r="102" spans="1:11" x14ac:dyDescent="0.2">
      <c r="A102" s="12" t="str">
        <f t="shared" si="4"/>
        <v/>
      </c>
      <c r="B102" s="5"/>
      <c r="C102" s="5"/>
      <c r="D102" s="5"/>
      <c r="E102" s="6" t="str">
        <f>IFERROR(VLOOKUP(D102,'Asset Inventory'!$A$4:$B$200,2,FALSE),"")</f>
        <v/>
      </c>
      <c r="F102" s="5"/>
      <c r="G102" s="5"/>
      <c r="H102" s="5"/>
      <c r="I102" s="5"/>
      <c r="J102" s="5"/>
      <c r="K102" s="5"/>
    </row>
    <row r="103" spans="1:11" x14ac:dyDescent="0.2">
      <c r="A103" s="12" t="str">
        <f t="shared" si="4"/>
        <v/>
      </c>
      <c r="B103" s="5"/>
      <c r="C103" s="5"/>
      <c r="D103" s="5"/>
      <c r="E103" s="6" t="str">
        <f>IFERROR(VLOOKUP(D103,'Asset Inventory'!$A$4:$B$200,2,FALSE),"")</f>
        <v/>
      </c>
      <c r="F103" s="5"/>
      <c r="G103" s="5"/>
      <c r="H103" s="5"/>
      <c r="I103" s="5"/>
      <c r="J103" s="5"/>
      <c r="K103" s="5"/>
    </row>
    <row r="104" spans="1:11" x14ac:dyDescent="0.2">
      <c r="A104" s="12" t="str">
        <f t="shared" si="4"/>
        <v/>
      </c>
      <c r="B104" s="5"/>
      <c r="C104" s="5"/>
      <c r="D104" s="5"/>
      <c r="E104" s="6" t="str">
        <f>IFERROR(VLOOKUP(D104,'Asset Inventory'!$A$4:$B$200,2,FALSE),"")</f>
        <v/>
      </c>
      <c r="F104" s="5"/>
      <c r="G104" s="5"/>
      <c r="H104" s="5"/>
      <c r="I104" s="5"/>
      <c r="J104" s="5"/>
      <c r="K104" s="5"/>
    </row>
    <row r="105" spans="1:11" x14ac:dyDescent="0.2">
      <c r="A105" s="12" t="str">
        <f t="shared" si="4"/>
        <v/>
      </c>
      <c r="B105" s="5"/>
      <c r="C105" s="5"/>
      <c r="D105" s="5"/>
      <c r="E105" s="6" t="str">
        <f>IFERROR(VLOOKUP(D105,'Asset Inventory'!$A$4:$B$200,2,FALSE),"")</f>
        <v/>
      </c>
      <c r="F105" s="5"/>
      <c r="G105" s="5"/>
      <c r="H105" s="5"/>
      <c r="I105" s="5"/>
      <c r="J105" s="5"/>
      <c r="K105" s="5"/>
    </row>
    <row r="106" spans="1:11" x14ac:dyDescent="0.2">
      <c r="A106" s="12" t="str">
        <f t="shared" si="4"/>
        <v/>
      </c>
      <c r="B106" s="5"/>
      <c r="C106" s="5"/>
      <c r="D106" s="5"/>
      <c r="E106" s="6" t="str">
        <f>IFERROR(VLOOKUP(D106,'Asset Inventory'!$A$4:$B$200,2,FALSE),"")</f>
        <v/>
      </c>
      <c r="F106" s="5"/>
      <c r="G106" s="5"/>
      <c r="H106" s="5"/>
      <c r="I106" s="5"/>
      <c r="J106" s="5"/>
      <c r="K106" s="5"/>
    </row>
    <row r="107" spans="1:11" x14ac:dyDescent="0.2">
      <c r="A107" s="12" t="str">
        <f t="shared" si="4"/>
        <v/>
      </c>
      <c r="B107" s="5"/>
      <c r="C107" s="5"/>
      <c r="D107" s="5"/>
      <c r="E107" s="6" t="str">
        <f>IFERROR(VLOOKUP(D107,'Asset Inventory'!$A$4:$B$200,2,FALSE),"")</f>
        <v/>
      </c>
      <c r="F107" s="5"/>
      <c r="G107" s="5"/>
      <c r="H107" s="5"/>
      <c r="I107" s="5"/>
      <c r="J107" s="5"/>
      <c r="K107" s="5"/>
    </row>
    <row r="108" spans="1:11" x14ac:dyDescent="0.2">
      <c r="A108" s="12" t="str">
        <f t="shared" si="4"/>
        <v/>
      </c>
      <c r="B108" s="5"/>
      <c r="C108" s="5"/>
      <c r="D108" s="5"/>
      <c r="E108" s="6" t="str">
        <f>IFERROR(VLOOKUP(D108,'Asset Inventory'!$A$4:$B$200,2,FALSE),"")</f>
        <v/>
      </c>
      <c r="F108" s="5"/>
      <c r="G108" s="5"/>
      <c r="H108" s="5"/>
      <c r="I108" s="5"/>
      <c r="J108" s="5"/>
      <c r="K108" s="5"/>
    </row>
    <row r="109" spans="1:11" x14ac:dyDescent="0.2">
      <c r="A109" s="12" t="str">
        <f t="shared" si="4"/>
        <v/>
      </c>
      <c r="B109" s="5"/>
      <c r="C109" s="5"/>
      <c r="D109" s="5"/>
      <c r="E109" s="6" t="str">
        <f>IFERROR(VLOOKUP(D109,'Asset Inventory'!$A$4:$B$200,2,FALSE),"")</f>
        <v/>
      </c>
      <c r="F109" s="5"/>
      <c r="G109" s="5"/>
      <c r="H109" s="5"/>
      <c r="I109" s="5"/>
      <c r="J109" s="5"/>
      <c r="K109" s="5"/>
    </row>
    <row r="110" spans="1:11" x14ac:dyDescent="0.2">
      <c r="A110" s="12" t="str">
        <f t="shared" si="4"/>
        <v/>
      </c>
      <c r="B110" s="5"/>
      <c r="C110" s="5"/>
      <c r="D110" s="5"/>
      <c r="E110" s="6" t="str">
        <f>IFERROR(VLOOKUP(D110,'Asset Inventory'!$A$4:$B$200,2,FALSE),"")</f>
        <v/>
      </c>
      <c r="F110" s="5"/>
      <c r="G110" s="5"/>
      <c r="H110" s="5"/>
      <c r="I110" s="5"/>
      <c r="J110" s="5"/>
      <c r="K110" s="5"/>
    </row>
    <row r="111" spans="1:11" x14ac:dyDescent="0.2">
      <c r="A111" s="12" t="str">
        <f t="shared" si="4"/>
        <v/>
      </c>
      <c r="B111" s="5"/>
      <c r="C111" s="5"/>
      <c r="D111" s="5"/>
      <c r="E111" s="6" t="str">
        <f>IFERROR(VLOOKUP(D111,'Asset Inventory'!$A$4:$B$200,2,FALSE),"")</f>
        <v/>
      </c>
      <c r="F111" s="5"/>
      <c r="G111" s="5"/>
      <c r="H111" s="5"/>
      <c r="I111" s="5"/>
      <c r="J111" s="5"/>
      <c r="K111" s="5"/>
    </row>
    <row r="112" spans="1:11" x14ac:dyDescent="0.2">
      <c r="A112" s="12" t="str">
        <f t="shared" si="4"/>
        <v/>
      </c>
      <c r="B112" s="5"/>
      <c r="C112" s="5"/>
      <c r="D112" s="5"/>
      <c r="E112" s="6" t="str">
        <f>IFERROR(VLOOKUP(D112,'Asset Inventory'!$A$4:$B$200,2,FALSE),"")</f>
        <v/>
      </c>
      <c r="F112" s="5"/>
      <c r="G112" s="5"/>
      <c r="H112" s="5"/>
      <c r="I112" s="5"/>
      <c r="J112" s="5"/>
      <c r="K112" s="5"/>
    </row>
    <row r="113" spans="1:11" x14ac:dyDescent="0.2">
      <c r="A113" s="12" t="str">
        <f t="shared" si="4"/>
        <v/>
      </c>
      <c r="B113" s="5"/>
      <c r="C113" s="5"/>
      <c r="D113" s="5"/>
      <c r="E113" s="6" t="str">
        <f>IFERROR(VLOOKUP(D113,'Asset Inventory'!$A$4:$B$200,2,FALSE),"")</f>
        <v/>
      </c>
      <c r="F113" s="5"/>
      <c r="G113" s="5"/>
      <c r="H113" s="5"/>
      <c r="I113" s="5"/>
      <c r="J113" s="5"/>
      <c r="K113" s="5"/>
    </row>
    <row r="114" spans="1:11" x14ac:dyDescent="0.2">
      <c r="A114" s="12" t="str">
        <f t="shared" si="4"/>
        <v/>
      </c>
      <c r="B114" s="5"/>
      <c r="C114" s="5"/>
      <c r="D114" s="5"/>
      <c r="E114" s="6" t="str">
        <f>IFERROR(VLOOKUP(D114,'Asset Inventory'!$A$4:$B$200,2,FALSE),"")</f>
        <v/>
      </c>
      <c r="F114" s="5"/>
      <c r="G114" s="5"/>
      <c r="H114" s="5"/>
      <c r="I114" s="5"/>
      <c r="J114" s="5"/>
      <c r="K114" s="5"/>
    </row>
    <row r="115" spans="1:11" x14ac:dyDescent="0.2">
      <c r="A115" s="12" t="str">
        <f t="shared" si="4"/>
        <v/>
      </c>
      <c r="B115" s="5"/>
      <c r="C115" s="5"/>
      <c r="D115" s="5"/>
      <c r="E115" s="6" t="str">
        <f>IFERROR(VLOOKUP(D115,'Asset Inventory'!$A$4:$B$200,2,FALSE),"")</f>
        <v/>
      </c>
      <c r="F115" s="5"/>
      <c r="G115" s="5"/>
      <c r="H115" s="5"/>
      <c r="I115" s="5"/>
      <c r="J115" s="5"/>
      <c r="K115" s="5"/>
    </row>
    <row r="116" spans="1:11" x14ac:dyDescent="0.2">
      <c r="A116" s="12" t="str">
        <f t="shared" si="4"/>
        <v/>
      </c>
      <c r="B116" s="5"/>
      <c r="C116" s="5"/>
      <c r="D116" s="5"/>
      <c r="E116" s="6" t="str">
        <f>IFERROR(VLOOKUP(D116,'Asset Inventory'!$A$4:$B$200,2,FALSE),"")</f>
        <v/>
      </c>
      <c r="F116" s="5"/>
      <c r="G116" s="5"/>
      <c r="H116" s="5"/>
      <c r="I116" s="5"/>
      <c r="J116" s="5"/>
      <c r="K116" s="5"/>
    </row>
    <row r="117" spans="1:11" x14ac:dyDescent="0.2">
      <c r="A117" s="12" t="str">
        <f t="shared" si="4"/>
        <v/>
      </c>
      <c r="B117" s="5"/>
      <c r="C117" s="5"/>
      <c r="D117" s="5"/>
      <c r="E117" s="6" t="str">
        <f>IFERROR(VLOOKUP(D117,'Asset Inventory'!$A$4:$B$200,2,FALSE),"")</f>
        <v/>
      </c>
      <c r="F117" s="5"/>
      <c r="G117" s="5"/>
      <c r="H117" s="5"/>
      <c r="I117" s="5"/>
      <c r="J117" s="5"/>
      <c r="K117" s="5"/>
    </row>
    <row r="118" spans="1:11" x14ac:dyDescent="0.2">
      <c r="A118" s="12" t="str">
        <f t="shared" si="4"/>
        <v/>
      </c>
      <c r="B118" s="5"/>
      <c r="C118" s="5"/>
      <c r="D118" s="5"/>
      <c r="E118" s="6" t="str">
        <f>IFERROR(VLOOKUP(D118,'Asset Inventory'!$A$4:$B$200,2,FALSE),"")</f>
        <v/>
      </c>
      <c r="F118" s="5"/>
      <c r="G118" s="5"/>
      <c r="H118" s="5"/>
      <c r="I118" s="5"/>
      <c r="J118" s="5"/>
      <c r="K118" s="5"/>
    </row>
    <row r="119" spans="1:11" x14ac:dyDescent="0.2">
      <c r="A119" s="12" t="str">
        <f t="shared" si="4"/>
        <v/>
      </c>
      <c r="B119" s="5"/>
      <c r="C119" s="5"/>
      <c r="D119" s="5"/>
      <c r="E119" s="6" t="str">
        <f>IFERROR(VLOOKUP(D119,'Asset Inventory'!$A$4:$B$200,2,FALSE),"")</f>
        <v/>
      </c>
      <c r="F119" s="5"/>
      <c r="G119" s="5"/>
      <c r="H119" s="5"/>
      <c r="I119" s="5"/>
      <c r="J119" s="5"/>
      <c r="K119" s="5"/>
    </row>
    <row r="120" spans="1:11" x14ac:dyDescent="0.2">
      <c r="A120" s="12" t="str">
        <f t="shared" si="4"/>
        <v/>
      </c>
      <c r="B120" s="5"/>
      <c r="C120" s="5"/>
      <c r="D120" s="5"/>
      <c r="E120" s="6" t="str">
        <f>IFERROR(VLOOKUP(D120,'Asset Inventory'!$A$4:$B$200,2,FALSE),"")</f>
        <v/>
      </c>
      <c r="F120" s="5"/>
      <c r="G120" s="5"/>
      <c r="H120" s="5"/>
      <c r="I120" s="5"/>
      <c r="J120" s="5"/>
      <c r="K120" s="5"/>
    </row>
    <row r="121" spans="1:11" x14ac:dyDescent="0.2">
      <c r="A121" s="12" t="str">
        <f t="shared" si="4"/>
        <v/>
      </c>
      <c r="B121" s="5"/>
      <c r="C121" s="5"/>
      <c r="D121" s="5"/>
      <c r="E121" s="6" t="str">
        <f>IFERROR(VLOOKUP(D121,'Asset Inventory'!$A$4:$B$200,2,FALSE),"")</f>
        <v/>
      </c>
      <c r="F121" s="5"/>
      <c r="G121" s="5"/>
      <c r="H121" s="5"/>
      <c r="I121" s="5"/>
      <c r="J121" s="5"/>
      <c r="K121" s="5"/>
    </row>
  </sheetData>
  <mergeCells count="2">
    <mergeCell ref="A1:K1"/>
    <mergeCell ref="L1:V1"/>
  </mergeCells>
  <conditionalFormatting sqref="H4:H121">
    <cfRule type="expression" dxfId="15" priority="8">
      <formula>H4="Pass"</formula>
    </cfRule>
    <cfRule type="expression" dxfId="14" priority="9">
      <formula>H4="Fail"</formula>
    </cfRule>
    <cfRule type="expression" dxfId="13" priority="10">
      <formula>H4="Needs Review"</formula>
    </cfRule>
  </conditionalFormatting>
  <conditionalFormatting sqref="J4:J12 J14:J121">
    <cfRule type="expression" dxfId="12" priority="11">
      <formula>J4="Critical"</formula>
    </cfRule>
    <cfRule type="expression" dxfId="11" priority="12">
      <formula>J4="High"</formula>
    </cfRule>
    <cfRule type="expression" dxfId="10" priority="13">
      <formula>J4="Medium"</formula>
    </cfRule>
    <cfRule type="expression" dxfId="9" priority="14">
      <formula>J4="Low"</formula>
    </cfRule>
  </conditionalFormatting>
  <conditionalFormatting sqref="J13">
    <cfRule type="expression" dxfId="8" priority="1">
      <formula>J13="Pass"</formula>
    </cfRule>
    <cfRule type="expression" dxfId="7" priority="2">
      <formula>J13="Fail"</formula>
    </cfRule>
    <cfRule type="expression" dxfId="6" priority="3">
      <formula>J13="Needs Review"</formula>
    </cfRule>
  </conditionalFormatting>
  <dataValidations count="2">
    <dataValidation type="list" allowBlank="1" sqref="H4:H121 J13" xr:uid="{00000000-0002-0000-0300-000000000000}">
      <formula1>StatusList</formula1>
    </dataValidation>
    <dataValidation type="list" allowBlank="1" sqref="J4:J12 J14:J121" xr:uid="{00000000-0002-0000-0300-000001000000}">
      <formula1>RiskLevelList</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120"/>
  <sheetViews>
    <sheetView showGridLines="0" topLeftCell="A4" workbookViewId="0">
      <selection activeCell="M6" sqref="M1:M1048576"/>
    </sheetView>
  </sheetViews>
  <sheetFormatPr baseColWidth="10" defaultColWidth="0" defaultRowHeight="15" x14ac:dyDescent="0.2"/>
  <cols>
    <col min="1" max="1" width="12" customWidth="1"/>
    <col min="2" max="2" width="14" customWidth="1"/>
    <col min="3" max="3" width="16" customWidth="1"/>
    <col min="4" max="4" width="12" customWidth="1"/>
    <col min="5" max="5" width="42" customWidth="1"/>
    <col min="6" max="6" width="14" customWidth="1"/>
    <col min="7" max="9" width="12" customWidth="1"/>
    <col min="10" max="10" width="27.6640625" customWidth="1"/>
    <col min="11" max="13" width="14" customWidth="1"/>
    <col min="14" max="20" width="0" hidden="1" customWidth="1"/>
    <col min="21" max="16384" width="8.83203125" hidden="1"/>
  </cols>
  <sheetData>
    <row r="1" spans="1:20" ht="24" customHeight="1" x14ac:dyDescent="0.25">
      <c r="A1" s="45" t="s">
        <v>150</v>
      </c>
      <c r="B1" s="44"/>
      <c r="C1" s="44"/>
      <c r="D1" s="44"/>
      <c r="E1" s="44"/>
      <c r="F1" s="44"/>
      <c r="G1" s="44"/>
      <c r="H1" s="44"/>
      <c r="I1" s="44"/>
      <c r="J1" s="44"/>
      <c r="K1" s="44"/>
      <c r="L1" s="44"/>
      <c r="M1" s="44"/>
      <c r="N1" s="13"/>
      <c r="O1" s="13"/>
      <c r="P1" s="13"/>
      <c r="Q1" s="13"/>
      <c r="R1" s="13"/>
      <c r="S1" s="13"/>
      <c r="T1" s="13"/>
    </row>
    <row r="2" spans="1:20" ht="21" x14ac:dyDescent="0.25">
      <c r="A2" s="13"/>
      <c r="B2" s="13"/>
      <c r="C2" s="13"/>
      <c r="D2" s="13"/>
      <c r="E2" s="13"/>
      <c r="F2" s="13"/>
      <c r="G2" s="13"/>
      <c r="H2" s="13"/>
      <c r="I2" s="13"/>
      <c r="J2" s="13"/>
      <c r="K2" s="13"/>
      <c r="L2" s="13"/>
      <c r="M2" s="13"/>
      <c r="N2" s="13"/>
      <c r="O2" s="13"/>
      <c r="P2" s="13"/>
      <c r="Q2" s="13"/>
      <c r="R2" s="13"/>
      <c r="S2" s="13"/>
      <c r="T2" s="13"/>
    </row>
    <row r="3" spans="1:20" ht="34" customHeight="1" x14ac:dyDescent="0.25">
      <c r="A3" s="14" t="s">
        <v>151</v>
      </c>
      <c r="B3" s="14" t="s">
        <v>152</v>
      </c>
      <c r="C3" s="14" t="s">
        <v>153</v>
      </c>
      <c r="D3" s="14" t="s">
        <v>38</v>
      </c>
      <c r="E3" s="14" t="s">
        <v>154</v>
      </c>
      <c r="F3" s="14" t="s">
        <v>155</v>
      </c>
      <c r="G3" s="14" t="s">
        <v>156</v>
      </c>
      <c r="H3" s="14" t="s">
        <v>157</v>
      </c>
      <c r="I3" s="14" t="s">
        <v>108</v>
      </c>
      <c r="J3" s="14" t="s">
        <v>158</v>
      </c>
      <c r="K3" s="14" t="s">
        <v>42</v>
      </c>
      <c r="L3" s="14" t="s">
        <v>159</v>
      </c>
      <c r="M3" s="14" t="s">
        <v>106</v>
      </c>
      <c r="N3" s="13"/>
      <c r="O3" s="13"/>
      <c r="P3" s="13"/>
      <c r="Q3" s="13"/>
      <c r="R3" s="13"/>
      <c r="S3" s="13"/>
      <c r="T3" s="13"/>
    </row>
    <row r="4" spans="1:20" ht="46" x14ac:dyDescent="0.3">
      <c r="A4" s="21" t="str">
        <f t="shared" ref="A4:A35" si="0">IF(E4="","","R-"&amp;TEXT(ROW()-3,"000"))</f>
        <v>R-001</v>
      </c>
      <c r="B4" s="25" t="s">
        <v>160</v>
      </c>
      <c r="C4" s="25" t="s">
        <v>109</v>
      </c>
      <c r="D4" s="25" t="s">
        <v>45</v>
      </c>
      <c r="E4" s="25" t="s">
        <v>161</v>
      </c>
      <c r="F4" s="25">
        <v>5</v>
      </c>
      <c r="G4" s="25">
        <v>5</v>
      </c>
      <c r="H4" s="27">
        <f t="shared" ref="H4:H35" si="1">IF(OR(F4="",G4=""),"",F4*G4)</f>
        <v>25</v>
      </c>
      <c r="I4" s="26" t="str">
        <f t="shared" ref="I4:I35" si="2">IF(H4="","",IF(H4&gt;=20,"Critical",IF(H4&gt;=12,"High",IF(H4&gt;=6,"Medium","Low"))))</f>
        <v>Critical</v>
      </c>
      <c r="J4" s="25" t="s">
        <v>2</v>
      </c>
      <c r="K4" s="25" t="s">
        <v>9</v>
      </c>
      <c r="L4" s="28" t="s">
        <v>162</v>
      </c>
      <c r="M4" s="25" t="s">
        <v>3</v>
      </c>
      <c r="N4" s="13"/>
      <c r="O4" s="13"/>
      <c r="P4" s="13"/>
      <c r="Q4" s="13"/>
      <c r="R4" s="13"/>
      <c r="S4" s="13"/>
      <c r="T4" s="13"/>
    </row>
    <row r="5" spans="1:20" ht="46" x14ac:dyDescent="0.3">
      <c r="A5" s="21" t="str">
        <f t="shared" si="0"/>
        <v>R-002</v>
      </c>
      <c r="B5" s="25" t="s">
        <v>163</v>
      </c>
      <c r="C5" s="25" t="s">
        <v>114</v>
      </c>
      <c r="D5" s="25" t="s">
        <v>45</v>
      </c>
      <c r="E5" s="25" t="s">
        <v>164</v>
      </c>
      <c r="F5" s="25">
        <v>4</v>
      </c>
      <c r="G5" s="25">
        <v>4</v>
      </c>
      <c r="H5" s="27">
        <f t="shared" si="1"/>
        <v>16</v>
      </c>
      <c r="I5" s="26" t="str">
        <f t="shared" si="2"/>
        <v>High</v>
      </c>
      <c r="J5" s="25" t="s">
        <v>2</v>
      </c>
      <c r="K5" s="25" t="s">
        <v>4</v>
      </c>
      <c r="L5" s="28" t="s">
        <v>162</v>
      </c>
      <c r="M5" s="25" t="s">
        <v>3</v>
      </c>
      <c r="N5" s="13"/>
      <c r="O5" s="13"/>
      <c r="P5" s="13"/>
      <c r="Q5" s="13"/>
      <c r="R5" s="13"/>
      <c r="S5" s="13"/>
      <c r="T5" s="13"/>
    </row>
    <row r="6" spans="1:20" ht="69" x14ac:dyDescent="0.3">
      <c r="A6" s="21" t="str">
        <f t="shared" si="0"/>
        <v>R-003</v>
      </c>
      <c r="B6" s="25" t="s">
        <v>165</v>
      </c>
      <c r="C6" s="25" t="s">
        <v>119</v>
      </c>
      <c r="D6" s="25" t="s">
        <v>45</v>
      </c>
      <c r="E6" s="25" t="s">
        <v>166</v>
      </c>
      <c r="F6" s="25">
        <v>2</v>
      </c>
      <c r="G6" s="25">
        <v>3</v>
      </c>
      <c r="H6" s="27">
        <f t="shared" si="1"/>
        <v>6</v>
      </c>
      <c r="I6" s="26" t="str">
        <f t="shared" si="2"/>
        <v>Medium</v>
      </c>
      <c r="J6" s="25" t="s">
        <v>297</v>
      </c>
      <c r="K6" s="25" t="s">
        <v>4</v>
      </c>
      <c r="L6" s="28" t="s">
        <v>167</v>
      </c>
      <c r="M6" s="25" t="s">
        <v>13</v>
      </c>
      <c r="N6" s="13"/>
      <c r="O6" s="13"/>
      <c r="P6" s="13"/>
      <c r="Q6" s="13"/>
      <c r="R6" s="13"/>
      <c r="S6" s="13"/>
      <c r="T6" s="13"/>
    </row>
    <row r="7" spans="1:20" ht="69" x14ac:dyDescent="0.3">
      <c r="A7" s="21" t="str">
        <f t="shared" si="0"/>
        <v>R-004</v>
      </c>
      <c r="B7" s="25" t="s">
        <v>168</v>
      </c>
      <c r="C7" s="25" t="s">
        <v>124</v>
      </c>
      <c r="D7" s="25" t="s">
        <v>45</v>
      </c>
      <c r="E7" s="25" t="s">
        <v>169</v>
      </c>
      <c r="F7" s="25">
        <v>3</v>
      </c>
      <c r="G7" s="25">
        <v>4</v>
      </c>
      <c r="H7" s="27">
        <f t="shared" si="1"/>
        <v>12</v>
      </c>
      <c r="I7" s="26" t="str">
        <f t="shared" si="2"/>
        <v>High</v>
      </c>
      <c r="J7" s="25" t="s">
        <v>2</v>
      </c>
      <c r="K7" s="25" t="s">
        <v>9</v>
      </c>
      <c r="L7" s="28" t="s">
        <v>162</v>
      </c>
      <c r="M7" s="25" t="s">
        <v>3</v>
      </c>
      <c r="N7" s="13"/>
      <c r="O7" s="13"/>
      <c r="P7" s="13"/>
      <c r="Q7" s="13"/>
      <c r="R7" s="13"/>
      <c r="S7" s="13"/>
      <c r="T7" s="13"/>
    </row>
    <row r="8" spans="1:20" ht="69" x14ac:dyDescent="0.3">
      <c r="A8" s="21" t="str">
        <f t="shared" si="0"/>
        <v>R-005</v>
      </c>
      <c r="B8" s="25" t="s">
        <v>170</v>
      </c>
      <c r="C8" s="25" t="s">
        <v>128</v>
      </c>
      <c r="D8" s="25" t="s">
        <v>45</v>
      </c>
      <c r="E8" s="25" t="s">
        <v>171</v>
      </c>
      <c r="F8" s="25">
        <v>1</v>
      </c>
      <c r="G8" s="25">
        <v>2</v>
      </c>
      <c r="H8" s="27">
        <f t="shared" si="1"/>
        <v>2</v>
      </c>
      <c r="I8" s="26" t="str">
        <f t="shared" si="2"/>
        <v>Low</v>
      </c>
      <c r="J8" s="25" t="s">
        <v>7</v>
      </c>
      <c r="K8" s="25" t="s">
        <v>9</v>
      </c>
      <c r="L8" s="28" t="s">
        <v>167</v>
      </c>
      <c r="M8" s="25" t="s">
        <v>17</v>
      </c>
      <c r="N8" s="13"/>
      <c r="O8" s="13"/>
      <c r="P8" s="13"/>
      <c r="Q8" s="13"/>
      <c r="R8" s="13"/>
      <c r="S8" s="13"/>
      <c r="T8" s="13"/>
    </row>
    <row r="9" spans="1:20" ht="46" x14ac:dyDescent="0.3">
      <c r="A9" s="21" t="str">
        <f t="shared" si="0"/>
        <v>R-006</v>
      </c>
      <c r="B9" s="25" t="s">
        <v>172</v>
      </c>
      <c r="C9" s="25" t="s">
        <v>133</v>
      </c>
      <c r="D9" s="25" t="s">
        <v>78</v>
      </c>
      <c r="E9" s="25" t="s">
        <v>298</v>
      </c>
      <c r="F9" s="25">
        <v>1</v>
      </c>
      <c r="G9" s="25">
        <v>2</v>
      </c>
      <c r="H9" s="27">
        <f t="shared" si="1"/>
        <v>2</v>
      </c>
      <c r="I9" s="26" t="s">
        <v>1</v>
      </c>
      <c r="J9" s="25" t="s">
        <v>7</v>
      </c>
      <c r="K9" s="25" t="s">
        <v>9</v>
      </c>
      <c r="L9" s="28" t="s">
        <v>173</v>
      </c>
      <c r="M9" s="25" t="s">
        <v>17</v>
      </c>
      <c r="N9" s="13"/>
      <c r="O9" s="13"/>
      <c r="P9" s="13"/>
      <c r="Q9" s="13"/>
      <c r="R9" s="13"/>
      <c r="S9" s="13"/>
      <c r="T9" s="13"/>
    </row>
    <row r="10" spans="1:20" ht="46" x14ac:dyDescent="0.3">
      <c r="A10" s="21" t="str">
        <f t="shared" si="0"/>
        <v>R-007</v>
      </c>
      <c r="B10" s="25" t="s">
        <v>174</v>
      </c>
      <c r="C10" s="25" t="s">
        <v>137</v>
      </c>
      <c r="D10" s="25" t="s">
        <v>51</v>
      </c>
      <c r="E10" s="25" t="s">
        <v>299</v>
      </c>
      <c r="F10" s="25">
        <v>1</v>
      </c>
      <c r="G10" s="25">
        <v>2</v>
      </c>
      <c r="H10" s="27">
        <f t="shared" si="1"/>
        <v>2</v>
      </c>
      <c r="I10" s="26" t="s">
        <v>1</v>
      </c>
      <c r="J10" s="25" t="s">
        <v>7</v>
      </c>
      <c r="K10" s="25" t="s">
        <v>4</v>
      </c>
      <c r="L10" s="28" t="s">
        <v>173</v>
      </c>
      <c r="M10" s="25" t="s">
        <v>17</v>
      </c>
      <c r="N10" s="13"/>
      <c r="O10" s="13"/>
      <c r="P10" s="13"/>
      <c r="Q10" s="13"/>
      <c r="R10" s="13"/>
      <c r="S10" s="13"/>
      <c r="T10" s="13"/>
    </row>
    <row r="11" spans="1:20" ht="46" x14ac:dyDescent="0.3">
      <c r="A11" s="21" t="str">
        <f t="shared" si="0"/>
        <v>R-008</v>
      </c>
      <c r="B11" s="25" t="s">
        <v>175</v>
      </c>
      <c r="C11" s="25" t="s">
        <v>140</v>
      </c>
      <c r="D11" s="25" t="s">
        <v>73</v>
      </c>
      <c r="E11" s="25" t="s">
        <v>300</v>
      </c>
      <c r="F11" s="25">
        <v>1</v>
      </c>
      <c r="G11" s="25">
        <v>3</v>
      </c>
      <c r="H11" s="27">
        <f t="shared" si="1"/>
        <v>3</v>
      </c>
      <c r="I11" s="26" t="s">
        <v>1</v>
      </c>
      <c r="J11" s="25" t="s">
        <v>7</v>
      </c>
      <c r="K11" s="25" t="s">
        <v>4</v>
      </c>
      <c r="L11" s="28" t="s">
        <v>173</v>
      </c>
      <c r="M11" s="25" t="s">
        <v>17</v>
      </c>
      <c r="N11" s="13"/>
      <c r="O11" s="13"/>
      <c r="P11" s="13"/>
      <c r="Q11" s="13"/>
      <c r="R11" s="13"/>
      <c r="S11" s="13"/>
      <c r="T11" s="13"/>
    </row>
    <row r="12" spans="1:20" ht="46" x14ac:dyDescent="0.3">
      <c r="A12" s="21" t="str">
        <f t="shared" si="0"/>
        <v>R-009</v>
      </c>
      <c r="B12" s="25" t="s">
        <v>176</v>
      </c>
      <c r="C12" s="25" t="s">
        <v>144</v>
      </c>
      <c r="D12" s="25" t="s">
        <v>88</v>
      </c>
      <c r="E12" s="25" t="s">
        <v>301</v>
      </c>
      <c r="F12" s="25">
        <v>0</v>
      </c>
      <c r="G12" s="25">
        <v>1</v>
      </c>
      <c r="H12" s="27">
        <f t="shared" si="1"/>
        <v>0</v>
      </c>
      <c r="I12" s="26" t="s">
        <v>294</v>
      </c>
      <c r="J12" s="25" t="s">
        <v>7</v>
      </c>
      <c r="K12" s="25" t="s">
        <v>14</v>
      </c>
      <c r="L12" s="28" t="s">
        <v>177</v>
      </c>
      <c r="M12" s="25" t="s">
        <v>17</v>
      </c>
      <c r="N12" s="13"/>
      <c r="O12" s="13"/>
      <c r="P12" s="13"/>
      <c r="Q12" s="13"/>
      <c r="R12" s="13"/>
      <c r="S12" s="13"/>
      <c r="T12" s="13"/>
    </row>
    <row r="13" spans="1:20" ht="46" x14ac:dyDescent="0.3">
      <c r="A13" s="21" t="str">
        <f t="shared" si="0"/>
        <v>R-010</v>
      </c>
      <c r="B13" s="25" t="s">
        <v>178</v>
      </c>
      <c r="C13" s="25" t="s">
        <v>147</v>
      </c>
      <c r="D13" s="25" t="s">
        <v>94</v>
      </c>
      <c r="E13" s="25" t="s">
        <v>290</v>
      </c>
      <c r="F13" s="25">
        <v>1</v>
      </c>
      <c r="G13" s="25">
        <v>2</v>
      </c>
      <c r="H13" s="27">
        <f t="shared" si="1"/>
        <v>2</v>
      </c>
      <c r="I13" s="26" t="s">
        <v>1</v>
      </c>
      <c r="J13" s="25" t="s">
        <v>7</v>
      </c>
      <c r="K13" s="25" t="s">
        <v>19</v>
      </c>
      <c r="L13" s="28" t="s">
        <v>179</v>
      </c>
      <c r="M13" s="25" t="s">
        <v>17</v>
      </c>
      <c r="N13" s="13"/>
      <c r="O13" s="13"/>
      <c r="P13" s="13"/>
      <c r="Q13" s="13"/>
      <c r="R13" s="13"/>
      <c r="S13" s="13"/>
      <c r="T13" s="13"/>
    </row>
    <row r="14" spans="1:20" ht="23" x14ac:dyDescent="0.3">
      <c r="A14" s="21" t="str">
        <f t="shared" si="0"/>
        <v/>
      </c>
      <c r="B14" s="20"/>
      <c r="C14" s="20"/>
      <c r="D14" s="20"/>
      <c r="E14" s="20"/>
      <c r="F14" s="20"/>
      <c r="G14" s="20"/>
      <c r="H14" s="23" t="str">
        <f t="shared" si="1"/>
        <v/>
      </c>
      <c r="I14" s="22" t="str">
        <f t="shared" si="2"/>
        <v/>
      </c>
      <c r="J14" s="20"/>
      <c r="K14" s="20"/>
      <c r="L14" s="24"/>
      <c r="M14" s="20"/>
      <c r="N14" s="13"/>
      <c r="O14" s="13"/>
      <c r="P14" s="13"/>
      <c r="Q14" s="13"/>
      <c r="R14" s="13"/>
      <c r="S14" s="13"/>
      <c r="T14" s="13"/>
    </row>
    <row r="15" spans="1:20" ht="23" x14ac:dyDescent="0.3">
      <c r="A15" s="21" t="str">
        <f t="shared" si="0"/>
        <v/>
      </c>
      <c r="B15" s="20"/>
      <c r="C15" s="20"/>
      <c r="D15" s="20"/>
      <c r="E15" s="20"/>
      <c r="F15" s="20"/>
      <c r="G15" s="20"/>
      <c r="H15" s="23" t="str">
        <f t="shared" si="1"/>
        <v/>
      </c>
      <c r="I15" s="22" t="str">
        <f t="shared" si="2"/>
        <v/>
      </c>
      <c r="J15" s="20"/>
      <c r="K15" s="20"/>
      <c r="L15" s="24"/>
      <c r="M15" s="20"/>
      <c r="N15" s="13"/>
      <c r="O15" s="13"/>
      <c r="P15" s="13"/>
      <c r="Q15" s="13"/>
      <c r="R15" s="13"/>
      <c r="S15" s="13"/>
      <c r="T15" s="13"/>
    </row>
    <row r="16" spans="1:20" ht="23" x14ac:dyDescent="0.3">
      <c r="A16" s="21" t="str">
        <f t="shared" si="0"/>
        <v/>
      </c>
      <c r="B16" s="20"/>
      <c r="C16" s="20"/>
      <c r="D16" s="20"/>
      <c r="E16" s="20"/>
      <c r="F16" s="20"/>
      <c r="G16" s="20"/>
      <c r="H16" s="23" t="str">
        <f t="shared" si="1"/>
        <v/>
      </c>
      <c r="I16" s="22" t="str">
        <f t="shared" si="2"/>
        <v/>
      </c>
      <c r="J16" s="20"/>
      <c r="K16" s="20"/>
      <c r="L16" s="24"/>
      <c r="M16" s="20"/>
      <c r="N16" s="13"/>
      <c r="O16" s="13"/>
      <c r="P16" s="13"/>
      <c r="Q16" s="13"/>
      <c r="R16" s="13"/>
      <c r="S16" s="13"/>
      <c r="T16" s="13"/>
    </row>
    <row r="17" spans="1:20" ht="23" x14ac:dyDescent="0.3">
      <c r="A17" s="21" t="str">
        <f t="shared" si="0"/>
        <v/>
      </c>
      <c r="B17" s="20"/>
      <c r="C17" s="20"/>
      <c r="D17" s="20"/>
      <c r="E17" s="20"/>
      <c r="F17" s="20"/>
      <c r="G17" s="20"/>
      <c r="H17" s="23" t="str">
        <f t="shared" si="1"/>
        <v/>
      </c>
      <c r="I17" s="22" t="str">
        <f t="shared" si="2"/>
        <v/>
      </c>
      <c r="J17" s="20"/>
      <c r="K17" s="20"/>
      <c r="L17" s="24"/>
      <c r="M17" s="20"/>
      <c r="N17" s="13"/>
      <c r="O17" s="13"/>
      <c r="P17" s="13"/>
      <c r="Q17" s="13"/>
      <c r="R17" s="13"/>
      <c r="S17" s="13"/>
      <c r="T17" s="13"/>
    </row>
    <row r="18" spans="1:20" ht="23" x14ac:dyDescent="0.3">
      <c r="A18" s="21" t="str">
        <f t="shared" si="0"/>
        <v/>
      </c>
      <c r="B18" s="20"/>
      <c r="C18" s="20"/>
      <c r="D18" s="20"/>
      <c r="E18" s="20"/>
      <c r="F18" s="20"/>
      <c r="G18" s="20"/>
      <c r="H18" s="23" t="str">
        <f t="shared" si="1"/>
        <v/>
      </c>
      <c r="I18" s="22" t="str">
        <f t="shared" si="2"/>
        <v/>
      </c>
      <c r="J18" s="20"/>
      <c r="K18" s="20"/>
      <c r="L18" s="24"/>
      <c r="M18" s="20"/>
      <c r="N18" s="13"/>
      <c r="O18" s="13"/>
      <c r="P18" s="13"/>
      <c r="Q18" s="13"/>
      <c r="R18" s="13"/>
      <c r="S18" s="13"/>
      <c r="T18" s="13"/>
    </row>
    <row r="19" spans="1:20" ht="23" x14ac:dyDescent="0.3">
      <c r="A19" s="21" t="str">
        <f t="shared" si="0"/>
        <v/>
      </c>
      <c r="B19" s="20"/>
      <c r="C19" s="20"/>
      <c r="D19" s="20"/>
      <c r="E19" s="20"/>
      <c r="F19" s="20"/>
      <c r="G19" s="20"/>
      <c r="H19" s="23" t="str">
        <f t="shared" si="1"/>
        <v/>
      </c>
      <c r="I19" s="22" t="str">
        <f t="shared" si="2"/>
        <v/>
      </c>
      <c r="J19" s="20"/>
      <c r="K19" s="20"/>
      <c r="L19" s="24"/>
      <c r="M19" s="20"/>
      <c r="N19" s="13"/>
      <c r="O19" s="13"/>
      <c r="P19" s="13"/>
      <c r="Q19" s="13"/>
      <c r="R19" s="13"/>
      <c r="S19" s="13"/>
      <c r="T19" s="13"/>
    </row>
    <row r="20" spans="1:20" ht="23" x14ac:dyDescent="0.3">
      <c r="A20" s="21" t="str">
        <f t="shared" si="0"/>
        <v/>
      </c>
      <c r="B20" s="20"/>
      <c r="C20" s="20"/>
      <c r="D20" s="20"/>
      <c r="E20" s="20"/>
      <c r="F20" s="20"/>
      <c r="G20" s="20"/>
      <c r="H20" s="23" t="str">
        <f t="shared" si="1"/>
        <v/>
      </c>
      <c r="I20" s="22" t="str">
        <f t="shared" si="2"/>
        <v/>
      </c>
      <c r="J20" s="20"/>
      <c r="K20" s="20"/>
      <c r="L20" s="24"/>
      <c r="M20" s="20"/>
      <c r="N20" s="13"/>
      <c r="O20" s="13"/>
      <c r="P20" s="13"/>
      <c r="Q20" s="13"/>
      <c r="R20" s="13"/>
      <c r="S20" s="13"/>
      <c r="T20" s="13"/>
    </row>
    <row r="21" spans="1:20" ht="23" x14ac:dyDescent="0.3">
      <c r="A21" s="21" t="str">
        <f t="shared" si="0"/>
        <v/>
      </c>
      <c r="B21" s="20"/>
      <c r="C21" s="20"/>
      <c r="D21" s="20"/>
      <c r="E21" s="20"/>
      <c r="F21" s="20"/>
      <c r="G21" s="20"/>
      <c r="H21" s="23" t="str">
        <f t="shared" si="1"/>
        <v/>
      </c>
      <c r="I21" s="22" t="str">
        <f t="shared" si="2"/>
        <v/>
      </c>
      <c r="J21" s="20"/>
      <c r="K21" s="20"/>
      <c r="L21" s="24"/>
      <c r="M21" s="20"/>
      <c r="N21" s="13"/>
      <c r="O21" s="13"/>
      <c r="P21" s="13"/>
      <c r="Q21" s="13"/>
      <c r="R21" s="13"/>
      <c r="S21" s="13"/>
      <c r="T21" s="13"/>
    </row>
    <row r="22" spans="1:20" ht="23" x14ac:dyDescent="0.3">
      <c r="A22" s="21" t="str">
        <f t="shared" si="0"/>
        <v/>
      </c>
      <c r="B22" s="20"/>
      <c r="C22" s="20"/>
      <c r="D22" s="20"/>
      <c r="E22" s="20"/>
      <c r="F22" s="20"/>
      <c r="G22" s="20"/>
      <c r="H22" s="23" t="str">
        <f t="shared" si="1"/>
        <v/>
      </c>
      <c r="I22" s="22" t="str">
        <f t="shared" si="2"/>
        <v/>
      </c>
      <c r="J22" s="20"/>
      <c r="K22" s="20"/>
      <c r="L22" s="24"/>
      <c r="M22" s="20"/>
      <c r="N22" s="13"/>
      <c r="O22" s="13"/>
      <c r="P22" s="13"/>
      <c r="Q22" s="13"/>
      <c r="R22" s="13"/>
      <c r="S22" s="13"/>
      <c r="T22" s="13"/>
    </row>
    <row r="23" spans="1:20" ht="23" x14ac:dyDescent="0.3">
      <c r="A23" s="21" t="str">
        <f t="shared" si="0"/>
        <v/>
      </c>
      <c r="B23" s="20"/>
      <c r="C23" s="20"/>
      <c r="D23" s="20"/>
      <c r="E23" s="20"/>
      <c r="F23" s="20"/>
      <c r="G23" s="20"/>
      <c r="H23" s="23" t="str">
        <f t="shared" si="1"/>
        <v/>
      </c>
      <c r="I23" s="22" t="str">
        <f t="shared" si="2"/>
        <v/>
      </c>
      <c r="J23" s="20"/>
      <c r="K23" s="20"/>
      <c r="L23" s="24"/>
      <c r="M23" s="20"/>
      <c r="N23" s="13"/>
      <c r="O23" s="13"/>
      <c r="P23" s="13"/>
      <c r="Q23" s="13"/>
      <c r="R23" s="13"/>
      <c r="S23" s="13"/>
      <c r="T23" s="13"/>
    </row>
    <row r="24" spans="1:20" ht="23" x14ac:dyDescent="0.3">
      <c r="A24" s="21" t="str">
        <f t="shared" si="0"/>
        <v/>
      </c>
      <c r="B24" s="20"/>
      <c r="C24" s="20"/>
      <c r="D24" s="20"/>
      <c r="E24" s="20"/>
      <c r="F24" s="20"/>
      <c r="G24" s="20"/>
      <c r="H24" s="23" t="str">
        <f t="shared" si="1"/>
        <v/>
      </c>
      <c r="I24" s="22" t="str">
        <f t="shared" si="2"/>
        <v/>
      </c>
      <c r="J24" s="20"/>
      <c r="K24" s="20"/>
      <c r="L24" s="24"/>
      <c r="M24" s="20"/>
      <c r="N24" s="13"/>
      <c r="O24" s="13"/>
      <c r="P24" s="13"/>
      <c r="Q24" s="13"/>
      <c r="R24" s="13"/>
      <c r="S24" s="13"/>
      <c r="T24" s="13"/>
    </row>
    <row r="25" spans="1:20" ht="23" x14ac:dyDescent="0.3">
      <c r="A25" s="21" t="str">
        <f t="shared" si="0"/>
        <v/>
      </c>
      <c r="B25" s="20"/>
      <c r="C25" s="20"/>
      <c r="D25" s="20"/>
      <c r="E25" s="20"/>
      <c r="F25" s="20"/>
      <c r="G25" s="20"/>
      <c r="H25" s="23" t="str">
        <f t="shared" si="1"/>
        <v/>
      </c>
      <c r="I25" s="22" t="str">
        <f t="shared" si="2"/>
        <v/>
      </c>
      <c r="J25" s="20"/>
      <c r="K25" s="20"/>
      <c r="L25" s="24"/>
      <c r="M25" s="20"/>
      <c r="N25" s="13"/>
      <c r="O25" s="13"/>
      <c r="P25" s="13"/>
      <c r="Q25" s="13"/>
      <c r="R25" s="13"/>
      <c r="S25" s="13"/>
      <c r="T25" s="13"/>
    </row>
    <row r="26" spans="1:20" x14ac:dyDescent="0.2">
      <c r="A26" s="12" t="str">
        <f t="shared" si="0"/>
        <v/>
      </c>
      <c r="B26" s="5"/>
      <c r="C26" s="5"/>
      <c r="D26" s="5"/>
      <c r="E26" s="5"/>
      <c r="F26" s="5"/>
      <c r="G26" s="5"/>
      <c r="H26" s="7" t="str">
        <f t="shared" si="1"/>
        <v/>
      </c>
      <c r="I26" s="6" t="str">
        <f t="shared" si="2"/>
        <v/>
      </c>
      <c r="J26" s="5"/>
      <c r="K26" s="5"/>
      <c r="L26" s="8"/>
      <c r="M26" s="5"/>
    </row>
    <row r="27" spans="1:20" x14ac:dyDescent="0.2">
      <c r="A27" s="12" t="str">
        <f t="shared" si="0"/>
        <v/>
      </c>
      <c r="B27" s="5"/>
      <c r="C27" s="5"/>
      <c r="D27" s="5"/>
      <c r="E27" s="5"/>
      <c r="F27" s="5"/>
      <c r="G27" s="5"/>
      <c r="H27" s="7" t="str">
        <f t="shared" si="1"/>
        <v/>
      </c>
      <c r="I27" s="6" t="str">
        <f t="shared" si="2"/>
        <v/>
      </c>
      <c r="J27" s="5"/>
      <c r="K27" s="5"/>
      <c r="L27" s="8"/>
      <c r="M27" s="5"/>
    </row>
    <row r="28" spans="1:20" x14ac:dyDescent="0.2">
      <c r="A28" s="12" t="str">
        <f t="shared" si="0"/>
        <v/>
      </c>
      <c r="B28" s="5"/>
      <c r="C28" s="5"/>
      <c r="D28" s="5"/>
      <c r="E28" s="5"/>
      <c r="F28" s="5"/>
      <c r="G28" s="5"/>
      <c r="H28" s="7" t="str">
        <f t="shared" si="1"/>
        <v/>
      </c>
      <c r="I28" s="6" t="str">
        <f t="shared" si="2"/>
        <v/>
      </c>
      <c r="J28" s="5"/>
      <c r="K28" s="5"/>
      <c r="L28" s="8"/>
      <c r="M28" s="5"/>
    </row>
    <row r="29" spans="1:20" x14ac:dyDescent="0.2">
      <c r="A29" s="12" t="str">
        <f t="shared" si="0"/>
        <v/>
      </c>
      <c r="B29" s="5"/>
      <c r="C29" s="5"/>
      <c r="D29" s="5"/>
      <c r="E29" s="5"/>
      <c r="F29" s="5"/>
      <c r="G29" s="5"/>
      <c r="H29" s="7" t="str">
        <f t="shared" si="1"/>
        <v/>
      </c>
      <c r="I29" s="6" t="str">
        <f t="shared" si="2"/>
        <v/>
      </c>
      <c r="J29" s="5"/>
      <c r="K29" s="5"/>
      <c r="L29" s="8"/>
      <c r="M29" s="5"/>
    </row>
    <row r="30" spans="1:20" x14ac:dyDescent="0.2">
      <c r="A30" s="12" t="str">
        <f t="shared" si="0"/>
        <v/>
      </c>
      <c r="B30" s="5"/>
      <c r="C30" s="5"/>
      <c r="D30" s="5"/>
      <c r="E30" s="5"/>
      <c r="F30" s="5"/>
      <c r="G30" s="5"/>
      <c r="H30" s="7" t="str">
        <f t="shared" si="1"/>
        <v/>
      </c>
      <c r="I30" s="6" t="str">
        <f t="shared" si="2"/>
        <v/>
      </c>
      <c r="J30" s="5"/>
      <c r="K30" s="5"/>
      <c r="L30" s="8"/>
      <c r="M30" s="5"/>
    </row>
    <row r="31" spans="1:20" x14ac:dyDescent="0.2">
      <c r="A31" s="12" t="str">
        <f t="shared" si="0"/>
        <v/>
      </c>
      <c r="B31" s="5"/>
      <c r="C31" s="5"/>
      <c r="D31" s="5"/>
      <c r="E31" s="5"/>
      <c r="F31" s="5"/>
      <c r="G31" s="5"/>
      <c r="H31" s="7" t="str">
        <f t="shared" si="1"/>
        <v/>
      </c>
      <c r="I31" s="6" t="str">
        <f t="shared" si="2"/>
        <v/>
      </c>
      <c r="J31" s="5"/>
      <c r="K31" s="5"/>
      <c r="L31" s="8"/>
      <c r="M31" s="5"/>
    </row>
    <row r="32" spans="1:20" x14ac:dyDescent="0.2">
      <c r="A32" s="12" t="str">
        <f t="shared" si="0"/>
        <v/>
      </c>
      <c r="B32" s="5"/>
      <c r="C32" s="5"/>
      <c r="D32" s="5"/>
      <c r="E32" s="5"/>
      <c r="F32" s="5"/>
      <c r="G32" s="5"/>
      <c r="H32" s="7" t="str">
        <f t="shared" si="1"/>
        <v/>
      </c>
      <c r="I32" s="6" t="str">
        <f t="shared" si="2"/>
        <v/>
      </c>
      <c r="J32" s="5"/>
      <c r="K32" s="5"/>
      <c r="L32" s="8"/>
      <c r="M32" s="5"/>
    </row>
    <row r="33" spans="1:13" x14ac:dyDescent="0.2">
      <c r="A33" s="12" t="str">
        <f t="shared" si="0"/>
        <v/>
      </c>
      <c r="B33" s="5"/>
      <c r="C33" s="5"/>
      <c r="D33" s="5"/>
      <c r="E33" s="5"/>
      <c r="F33" s="5"/>
      <c r="G33" s="5"/>
      <c r="H33" s="7" t="str">
        <f t="shared" si="1"/>
        <v/>
      </c>
      <c r="I33" s="6" t="str">
        <f t="shared" si="2"/>
        <v/>
      </c>
      <c r="J33" s="5"/>
      <c r="K33" s="5"/>
      <c r="L33" s="8"/>
      <c r="M33" s="5"/>
    </row>
    <row r="34" spans="1:13" x14ac:dyDescent="0.2">
      <c r="A34" s="12" t="str">
        <f t="shared" si="0"/>
        <v/>
      </c>
      <c r="B34" s="5"/>
      <c r="C34" s="5"/>
      <c r="D34" s="5"/>
      <c r="E34" s="5"/>
      <c r="F34" s="5"/>
      <c r="G34" s="5"/>
      <c r="H34" s="7" t="str">
        <f t="shared" si="1"/>
        <v/>
      </c>
      <c r="I34" s="6" t="str">
        <f t="shared" si="2"/>
        <v/>
      </c>
      <c r="J34" s="5"/>
      <c r="K34" s="5"/>
      <c r="L34" s="8"/>
      <c r="M34" s="5"/>
    </row>
    <row r="35" spans="1:13" x14ac:dyDescent="0.2">
      <c r="A35" s="12" t="str">
        <f t="shared" si="0"/>
        <v/>
      </c>
      <c r="B35" s="5"/>
      <c r="C35" s="5"/>
      <c r="D35" s="5"/>
      <c r="E35" s="5"/>
      <c r="F35" s="5"/>
      <c r="G35" s="5"/>
      <c r="H35" s="7" t="str">
        <f t="shared" si="1"/>
        <v/>
      </c>
      <c r="I35" s="6" t="str">
        <f t="shared" si="2"/>
        <v/>
      </c>
      <c r="J35" s="5"/>
      <c r="K35" s="5"/>
      <c r="L35" s="8"/>
      <c r="M35" s="5"/>
    </row>
    <row r="36" spans="1:13" x14ac:dyDescent="0.2">
      <c r="A36" s="12" t="str">
        <f t="shared" ref="A36:A67" si="3">IF(E36="","","R-"&amp;TEXT(ROW()-3,"000"))</f>
        <v/>
      </c>
      <c r="B36" s="5"/>
      <c r="C36" s="5"/>
      <c r="D36" s="5"/>
      <c r="E36" s="5"/>
      <c r="F36" s="5"/>
      <c r="G36" s="5"/>
      <c r="H36" s="7" t="str">
        <f t="shared" ref="H36:H67" si="4">IF(OR(F36="",G36=""),"",F36*G36)</f>
        <v/>
      </c>
      <c r="I36" s="6" t="str">
        <f t="shared" ref="I36:I67" si="5">IF(H36="","",IF(H36&gt;=20,"Critical",IF(H36&gt;=12,"High",IF(H36&gt;=6,"Medium","Low"))))</f>
        <v/>
      </c>
      <c r="J36" s="5"/>
      <c r="K36" s="5"/>
      <c r="L36" s="8"/>
      <c r="M36" s="5"/>
    </row>
    <row r="37" spans="1:13" x14ac:dyDescent="0.2">
      <c r="A37" s="12" t="str">
        <f t="shared" si="3"/>
        <v/>
      </c>
      <c r="B37" s="5"/>
      <c r="C37" s="5"/>
      <c r="D37" s="5"/>
      <c r="E37" s="5"/>
      <c r="F37" s="5"/>
      <c r="G37" s="5"/>
      <c r="H37" s="7" t="str">
        <f t="shared" si="4"/>
        <v/>
      </c>
      <c r="I37" s="6" t="str">
        <f t="shared" si="5"/>
        <v/>
      </c>
      <c r="J37" s="5"/>
      <c r="K37" s="5"/>
      <c r="L37" s="8"/>
      <c r="M37" s="5"/>
    </row>
    <row r="38" spans="1:13" x14ac:dyDescent="0.2">
      <c r="A38" s="12" t="str">
        <f t="shared" si="3"/>
        <v/>
      </c>
      <c r="B38" s="5"/>
      <c r="C38" s="5"/>
      <c r="D38" s="5"/>
      <c r="E38" s="5"/>
      <c r="F38" s="5"/>
      <c r="G38" s="5"/>
      <c r="H38" s="7" t="str">
        <f t="shared" si="4"/>
        <v/>
      </c>
      <c r="I38" s="6" t="str">
        <f t="shared" si="5"/>
        <v/>
      </c>
      <c r="J38" s="5"/>
      <c r="K38" s="5"/>
      <c r="L38" s="8"/>
      <c r="M38" s="5"/>
    </row>
    <row r="39" spans="1:13" x14ac:dyDescent="0.2">
      <c r="A39" s="12" t="str">
        <f t="shared" si="3"/>
        <v/>
      </c>
      <c r="B39" s="5"/>
      <c r="C39" s="5"/>
      <c r="D39" s="5"/>
      <c r="E39" s="5"/>
      <c r="F39" s="5"/>
      <c r="G39" s="5"/>
      <c r="H39" s="7" t="str">
        <f t="shared" si="4"/>
        <v/>
      </c>
      <c r="I39" s="6" t="str">
        <f t="shared" si="5"/>
        <v/>
      </c>
      <c r="J39" s="5"/>
      <c r="K39" s="5"/>
      <c r="L39" s="8"/>
      <c r="M39" s="5"/>
    </row>
    <row r="40" spans="1:13" x14ac:dyDescent="0.2">
      <c r="A40" s="12" t="str">
        <f t="shared" si="3"/>
        <v/>
      </c>
      <c r="B40" s="5"/>
      <c r="C40" s="5"/>
      <c r="D40" s="5"/>
      <c r="E40" s="5"/>
      <c r="F40" s="5"/>
      <c r="G40" s="5"/>
      <c r="H40" s="7" t="str">
        <f t="shared" si="4"/>
        <v/>
      </c>
      <c r="I40" s="6" t="str">
        <f t="shared" si="5"/>
        <v/>
      </c>
      <c r="J40" s="5"/>
      <c r="K40" s="5"/>
      <c r="L40" s="8"/>
      <c r="M40" s="5"/>
    </row>
    <row r="41" spans="1:13" x14ac:dyDescent="0.2">
      <c r="A41" s="12" t="str">
        <f t="shared" si="3"/>
        <v/>
      </c>
      <c r="B41" s="5"/>
      <c r="C41" s="5"/>
      <c r="D41" s="5"/>
      <c r="E41" s="5"/>
      <c r="F41" s="5"/>
      <c r="G41" s="5"/>
      <c r="H41" s="7" t="str">
        <f t="shared" si="4"/>
        <v/>
      </c>
      <c r="I41" s="6" t="str">
        <f t="shared" si="5"/>
        <v/>
      </c>
      <c r="J41" s="5"/>
      <c r="K41" s="5"/>
      <c r="L41" s="8"/>
      <c r="M41" s="5"/>
    </row>
    <row r="42" spans="1:13" x14ac:dyDescent="0.2">
      <c r="A42" s="12" t="str">
        <f t="shared" si="3"/>
        <v/>
      </c>
      <c r="B42" s="5"/>
      <c r="C42" s="5"/>
      <c r="D42" s="5"/>
      <c r="E42" s="5"/>
      <c r="F42" s="5"/>
      <c r="G42" s="5"/>
      <c r="H42" s="7" t="str">
        <f t="shared" si="4"/>
        <v/>
      </c>
      <c r="I42" s="6" t="str">
        <f t="shared" si="5"/>
        <v/>
      </c>
      <c r="J42" s="5"/>
      <c r="K42" s="5"/>
      <c r="L42" s="8"/>
      <c r="M42" s="5"/>
    </row>
    <row r="43" spans="1:13" x14ac:dyDescent="0.2">
      <c r="A43" s="12" t="str">
        <f t="shared" si="3"/>
        <v/>
      </c>
      <c r="B43" s="5"/>
      <c r="C43" s="5"/>
      <c r="D43" s="5"/>
      <c r="E43" s="5"/>
      <c r="F43" s="5"/>
      <c r="G43" s="5"/>
      <c r="H43" s="7" t="str">
        <f t="shared" si="4"/>
        <v/>
      </c>
      <c r="I43" s="6" t="str">
        <f t="shared" si="5"/>
        <v/>
      </c>
      <c r="J43" s="5"/>
      <c r="K43" s="5"/>
      <c r="L43" s="8"/>
      <c r="M43" s="5"/>
    </row>
    <row r="44" spans="1:13" x14ac:dyDescent="0.2">
      <c r="A44" s="12" t="str">
        <f t="shared" si="3"/>
        <v/>
      </c>
      <c r="B44" s="5"/>
      <c r="C44" s="5"/>
      <c r="D44" s="5"/>
      <c r="E44" s="5"/>
      <c r="F44" s="5"/>
      <c r="G44" s="5"/>
      <c r="H44" s="7" t="str">
        <f t="shared" si="4"/>
        <v/>
      </c>
      <c r="I44" s="6" t="str">
        <f t="shared" si="5"/>
        <v/>
      </c>
      <c r="J44" s="5"/>
      <c r="K44" s="5"/>
      <c r="L44" s="8"/>
      <c r="M44" s="5"/>
    </row>
    <row r="45" spans="1:13" x14ac:dyDescent="0.2">
      <c r="A45" s="12" t="str">
        <f t="shared" si="3"/>
        <v/>
      </c>
      <c r="B45" s="5"/>
      <c r="C45" s="5"/>
      <c r="D45" s="5"/>
      <c r="E45" s="5"/>
      <c r="F45" s="5"/>
      <c r="G45" s="5"/>
      <c r="H45" s="7" t="str">
        <f t="shared" si="4"/>
        <v/>
      </c>
      <c r="I45" s="6" t="str">
        <f t="shared" si="5"/>
        <v/>
      </c>
      <c r="J45" s="5"/>
      <c r="K45" s="5"/>
      <c r="L45" s="8"/>
      <c r="M45" s="5"/>
    </row>
    <row r="46" spans="1:13" x14ac:dyDescent="0.2">
      <c r="A46" s="12" t="str">
        <f t="shared" si="3"/>
        <v/>
      </c>
      <c r="B46" s="5"/>
      <c r="C46" s="5"/>
      <c r="D46" s="5"/>
      <c r="E46" s="5"/>
      <c r="F46" s="5"/>
      <c r="G46" s="5"/>
      <c r="H46" s="7" t="str">
        <f t="shared" si="4"/>
        <v/>
      </c>
      <c r="I46" s="6" t="str">
        <f t="shared" si="5"/>
        <v/>
      </c>
      <c r="J46" s="5"/>
      <c r="K46" s="5"/>
      <c r="L46" s="8"/>
      <c r="M46" s="5"/>
    </row>
    <row r="47" spans="1:13" x14ac:dyDescent="0.2">
      <c r="A47" s="12" t="str">
        <f t="shared" si="3"/>
        <v/>
      </c>
      <c r="B47" s="5"/>
      <c r="C47" s="5"/>
      <c r="D47" s="5"/>
      <c r="E47" s="5"/>
      <c r="F47" s="5"/>
      <c r="G47" s="5"/>
      <c r="H47" s="7" t="str">
        <f t="shared" si="4"/>
        <v/>
      </c>
      <c r="I47" s="6" t="str">
        <f t="shared" si="5"/>
        <v/>
      </c>
      <c r="J47" s="5"/>
      <c r="K47" s="5"/>
      <c r="L47" s="8"/>
      <c r="M47" s="5"/>
    </row>
    <row r="48" spans="1:13" x14ac:dyDescent="0.2">
      <c r="A48" s="12" t="str">
        <f t="shared" si="3"/>
        <v/>
      </c>
      <c r="B48" s="5"/>
      <c r="C48" s="5"/>
      <c r="D48" s="5"/>
      <c r="E48" s="5"/>
      <c r="F48" s="5"/>
      <c r="G48" s="5"/>
      <c r="H48" s="7" t="str">
        <f t="shared" si="4"/>
        <v/>
      </c>
      <c r="I48" s="6" t="str">
        <f t="shared" si="5"/>
        <v/>
      </c>
      <c r="J48" s="5"/>
      <c r="K48" s="5"/>
      <c r="L48" s="8"/>
      <c r="M48" s="5"/>
    </row>
    <row r="49" spans="1:13" x14ac:dyDescent="0.2">
      <c r="A49" s="12" t="str">
        <f t="shared" si="3"/>
        <v/>
      </c>
      <c r="B49" s="5"/>
      <c r="C49" s="5"/>
      <c r="D49" s="5"/>
      <c r="E49" s="5"/>
      <c r="F49" s="5"/>
      <c r="G49" s="5"/>
      <c r="H49" s="7" t="str">
        <f t="shared" si="4"/>
        <v/>
      </c>
      <c r="I49" s="6" t="str">
        <f t="shared" si="5"/>
        <v/>
      </c>
      <c r="J49" s="5"/>
      <c r="K49" s="5"/>
      <c r="L49" s="8"/>
      <c r="M49" s="5"/>
    </row>
    <row r="50" spans="1:13" x14ac:dyDescent="0.2">
      <c r="A50" s="12" t="str">
        <f t="shared" si="3"/>
        <v/>
      </c>
      <c r="B50" s="5"/>
      <c r="C50" s="5"/>
      <c r="D50" s="5"/>
      <c r="E50" s="5"/>
      <c r="F50" s="5"/>
      <c r="G50" s="5"/>
      <c r="H50" s="7" t="str">
        <f t="shared" si="4"/>
        <v/>
      </c>
      <c r="I50" s="6" t="str">
        <f t="shared" si="5"/>
        <v/>
      </c>
      <c r="J50" s="5"/>
      <c r="K50" s="5"/>
      <c r="L50" s="8"/>
      <c r="M50" s="5"/>
    </row>
    <row r="51" spans="1:13" x14ac:dyDescent="0.2">
      <c r="A51" s="12" t="str">
        <f t="shared" si="3"/>
        <v/>
      </c>
      <c r="B51" s="5"/>
      <c r="C51" s="5"/>
      <c r="D51" s="5"/>
      <c r="E51" s="5"/>
      <c r="F51" s="5"/>
      <c r="G51" s="5"/>
      <c r="H51" s="7" t="str">
        <f t="shared" si="4"/>
        <v/>
      </c>
      <c r="I51" s="6" t="str">
        <f t="shared" si="5"/>
        <v/>
      </c>
      <c r="J51" s="5"/>
      <c r="K51" s="5"/>
      <c r="L51" s="8"/>
      <c r="M51" s="5"/>
    </row>
    <row r="52" spans="1:13" x14ac:dyDescent="0.2">
      <c r="A52" s="12" t="str">
        <f t="shared" si="3"/>
        <v/>
      </c>
      <c r="B52" s="5"/>
      <c r="C52" s="5"/>
      <c r="D52" s="5"/>
      <c r="E52" s="5"/>
      <c r="F52" s="5"/>
      <c r="G52" s="5"/>
      <c r="H52" s="7" t="str">
        <f t="shared" si="4"/>
        <v/>
      </c>
      <c r="I52" s="6" t="str">
        <f t="shared" si="5"/>
        <v/>
      </c>
      <c r="J52" s="5"/>
      <c r="K52" s="5"/>
      <c r="L52" s="8"/>
      <c r="M52" s="5"/>
    </row>
    <row r="53" spans="1:13" x14ac:dyDescent="0.2">
      <c r="A53" s="12" t="str">
        <f t="shared" si="3"/>
        <v/>
      </c>
      <c r="B53" s="5"/>
      <c r="C53" s="5"/>
      <c r="D53" s="5"/>
      <c r="E53" s="5"/>
      <c r="F53" s="5"/>
      <c r="G53" s="5"/>
      <c r="H53" s="7" t="str">
        <f t="shared" si="4"/>
        <v/>
      </c>
      <c r="I53" s="6" t="str">
        <f t="shared" si="5"/>
        <v/>
      </c>
      <c r="J53" s="5"/>
      <c r="K53" s="5"/>
      <c r="L53" s="8"/>
      <c r="M53" s="5"/>
    </row>
    <row r="54" spans="1:13" x14ac:dyDescent="0.2">
      <c r="A54" s="12" t="str">
        <f t="shared" si="3"/>
        <v/>
      </c>
      <c r="B54" s="5"/>
      <c r="C54" s="5"/>
      <c r="D54" s="5"/>
      <c r="E54" s="5"/>
      <c r="F54" s="5"/>
      <c r="G54" s="5"/>
      <c r="H54" s="7" t="str">
        <f t="shared" si="4"/>
        <v/>
      </c>
      <c r="I54" s="6" t="str">
        <f t="shared" si="5"/>
        <v/>
      </c>
      <c r="J54" s="5"/>
      <c r="K54" s="5"/>
      <c r="L54" s="8"/>
      <c r="M54" s="5"/>
    </row>
    <row r="55" spans="1:13" x14ac:dyDescent="0.2">
      <c r="A55" s="12" t="str">
        <f t="shared" si="3"/>
        <v/>
      </c>
      <c r="B55" s="5"/>
      <c r="C55" s="5"/>
      <c r="D55" s="5"/>
      <c r="E55" s="5"/>
      <c r="F55" s="5"/>
      <c r="G55" s="5"/>
      <c r="H55" s="7" t="str">
        <f t="shared" si="4"/>
        <v/>
      </c>
      <c r="I55" s="6" t="str">
        <f t="shared" si="5"/>
        <v/>
      </c>
      <c r="J55" s="5"/>
      <c r="K55" s="5"/>
      <c r="L55" s="8"/>
      <c r="M55" s="5"/>
    </row>
    <row r="56" spans="1:13" x14ac:dyDescent="0.2">
      <c r="A56" s="12" t="str">
        <f t="shared" si="3"/>
        <v/>
      </c>
      <c r="B56" s="5"/>
      <c r="C56" s="5"/>
      <c r="D56" s="5"/>
      <c r="E56" s="5"/>
      <c r="F56" s="5"/>
      <c r="G56" s="5"/>
      <c r="H56" s="7" t="str">
        <f t="shared" si="4"/>
        <v/>
      </c>
      <c r="I56" s="6" t="str">
        <f t="shared" si="5"/>
        <v/>
      </c>
      <c r="J56" s="5"/>
      <c r="K56" s="5"/>
      <c r="L56" s="8"/>
      <c r="M56" s="5"/>
    </row>
    <row r="57" spans="1:13" x14ac:dyDescent="0.2">
      <c r="A57" s="12" t="str">
        <f t="shared" si="3"/>
        <v/>
      </c>
      <c r="B57" s="5"/>
      <c r="C57" s="5"/>
      <c r="D57" s="5"/>
      <c r="E57" s="5"/>
      <c r="F57" s="5"/>
      <c r="G57" s="5"/>
      <c r="H57" s="7" t="str">
        <f t="shared" si="4"/>
        <v/>
      </c>
      <c r="I57" s="6" t="str">
        <f t="shared" si="5"/>
        <v/>
      </c>
      <c r="J57" s="5"/>
      <c r="K57" s="5"/>
      <c r="L57" s="8"/>
      <c r="M57" s="5"/>
    </row>
    <row r="58" spans="1:13" x14ac:dyDescent="0.2">
      <c r="A58" s="12" t="str">
        <f t="shared" si="3"/>
        <v/>
      </c>
      <c r="B58" s="5"/>
      <c r="C58" s="5"/>
      <c r="D58" s="5"/>
      <c r="E58" s="5"/>
      <c r="F58" s="5"/>
      <c r="G58" s="5"/>
      <c r="H58" s="7" t="str">
        <f t="shared" si="4"/>
        <v/>
      </c>
      <c r="I58" s="6" t="str">
        <f t="shared" si="5"/>
        <v/>
      </c>
      <c r="J58" s="5"/>
      <c r="K58" s="5"/>
      <c r="L58" s="8"/>
      <c r="M58" s="5"/>
    </row>
    <row r="59" spans="1:13" x14ac:dyDescent="0.2">
      <c r="A59" s="12" t="str">
        <f t="shared" si="3"/>
        <v/>
      </c>
      <c r="B59" s="5"/>
      <c r="C59" s="5"/>
      <c r="D59" s="5"/>
      <c r="E59" s="5"/>
      <c r="F59" s="5"/>
      <c r="G59" s="5"/>
      <c r="H59" s="7" t="str">
        <f t="shared" si="4"/>
        <v/>
      </c>
      <c r="I59" s="6" t="str">
        <f t="shared" si="5"/>
        <v/>
      </c>
      <c r="J59" s="5"/>
      <c r="K59" s="5"/>
      <c r="L59" s="8"/>
      <c r="M59" s="5"/>
    </row>
    <row r="60" spans="1:13" x14ac:dyDescent="0.2">
      <c r="A60" s="12" t="str">
        <f t="shared" si="3"/>
        <v/>
      </c>
      <c r="B60" s="5"/>
      <c r="C60" s="5"/>
      <c r="D60" s="5"/>
      <c r="E60" s="5"/>
      <c r="F60" s="5"/>
      <c r="G60" s="5"/>
      <c r="H60" s="7" t="str">
        <f t="shared" si="4"/>
        <v/>
      </c>
      <c r="I60" s="6" t="str">
        <f t="shared" si="5"/>
        <v/>
      </c>
      <c r="J60" s="5"/>
      <c r="K60" s="5"/>
      <c r="L60" s="8"/>
      <c r="M60" s="5"/>
    </row>
    <row r="61" spans="1:13" x14ac:dyDescent="0.2">
      <c r="A61" s="12" t="str">
        <f t="shared" si="3"/>
        <v/>
      </c>
      <c r="B61" s="5"/>
      <c r="C61" s="5"/>
      <c r="D61" s="5"/>
      <c r="E61" s="5"/>
      <c r="F61" s="5"/>
      <c r="G61" s="5"/>
      <c r="H61" s="7" t="str">
        <f t="shared" si="4"/>
        <v/>
      </c>
      <c r="I61" s="6" t="str">
        <f t="shared" si="5"/>
        <v/>
      </c>
      <c r="J61" s="5"/>
      <c r="K61" s="5"/>
      <c r="L61" s="8"/>
      <c r="M61" s="5"/>
    </row>
    <row r="62" spans="1:13" x14ac:dyDescent="0.2">
      <c r="A62" s="12" t="str">
        <f t="shared" si="3"/>
        <v/>
      </c>
      <c r="B62" s="5"/>
      <c r="C62" s="5"/>
      <c r="D62" s="5"/>
      <c r="E62" s="5"/>
      <c r="F62" s="5"/>
      <c r="G62" s="5"/>
      <c r="H62" s="7" t="str">
        <f t="shared" si="4"/>
        <v/>
      </c>
      <c r="I62" s="6" t="str">
        <f t="shared" si="5"/>
        <v/>
      </c>
      <c r="J62" s="5"/>
      <c r="K62" s="5"/>
      <c r="L62" s="8"/>
      <c r="M62" s="5"/>
    </row>
    <row r="63" spans="1:13" x14ac:dyDescent="0.2">
      <c r="A63" s="12" t="str">
        <f t="shared" si="3"/>
        <v/>
      </c>
      <c r="B63" s="5"/>
      <c r="C63" s="5"/>
      <c r="D63" s="5"/>
      <c r="E63" s="5"/>
      <c r="F63" s="5"/>
      <c r="G63" s="5"/>
      <c r="H63" s="7" t="str">
        <f t="shared" si="4"/>
        <v/>
      </c>
      <c r="I63" s="6" t="str">
        <f t="shared" si="5"/>
        <v/>
      </c>
      <c r="J63" s="5"/>
      <c r="K63" s="5"/>
      <c r="L63" s="8"/>
      <c r="M63" s="5"/>
    </row>
    <row r="64" spans="1:13" x14ac:dyDescent="0.2">
      <c r="A64" s="12" t="str">
        <f t="shared" si="3"/>
        <v/>
      </c>
      <c r="B64" s="5"/>
      <c r="C64" s="5"/>
      <c r="D64" s="5"/>
      <c r="E64" s="5"/>
      <c r="F64" s="5"/>
      <c r="G64" s="5"/>
      <c r="H64" s="7" t="str">
        <f t="shared" si="4"/>
        <v/>
      </c>
      <c r="I64" s="6" t="str">
        <f t="shared" si="5"/>
        <v/>
      </c>
      <c r="J64" s="5"/>
      <c r="K64" s="5"/>
      <c r="L64" s="8"/>
      <c r="M64" s="5"/>
    </row>
    <row r="65" spans="1:13" x14ac:dyDescent="0.2">
      <c r="A65" s="12" t="str">
        <f t="shared" si="3"/>
        <v/>
      </c>
      <c r="B65" s="5"/>
      <c r="C65" s="5"/>
      <c r="D65" s="5"/>
      <c r="E65" s="5"/>
      <c r="F65" s="5"/>
      <c r="G65" s="5"/>
      <c r="H65" s="7" t="str">
        <f t="shared" si="4"/>
        <v/>
      </c>
      <c r="I65" s="6" t="str">
        <f t="shared" si="5"/>
        <v/>
      </c>
      <c r="J65" s="5"/>
      <c r="K65" s="5"/>
      <c r="L65" s="8"/>
      <c r="M65" s="5"/>
    </row>
    <row r="66" spans="1:13" x14ac:dyDescent="0.2">
      <c r="A66" s="12" t="str">
        <f t="shared" si="3"/>
        <v/>
      </c>
      <c r="B66" s="5"/>
      <c r="C66" s="5"/>
      <c r="D66" s="5"/>
      <c r="E66" s="5"/>
      <c r="F66" s="5"/>
      <c r="G66" s="5"/>
      <c r="H66" s="7" t="str">
        <f t="shared" si="4"/>
        <v/>
      </c>
      <c r="I66" s="6" t="str">
        <f t="shared" si="5"/>
        <v/>
      </c>
      <c r="J66" s="5"/>
      <c r="K66" s="5"/>
      <c r="L66" s="8"/>
      <c r="M66" s="5"/>
    </row>
    <row r="67" spans="1:13" x14ac:dyDescent="0.2">
      <c r="A67" s="12" t="str">
        <f t="shared" si="3"/>
        <v/>
      </c>
      <c r="B67" s="5"/>
      <c r="C67" s="5"/>
      <c r="D67" s="5"/>
      <c r="E67" s="5"/>
      <c r="F67" s="5"/>
      <c r="G67" s="5"/>
      <c r="H67" s="7" t="str">
        <f t="shared" si="4"/>
        <v/>
      </c>
      <c r="I67" s="6" t="str">
        <f t="shared" si="5"/>
        <v/>
      </c>
      <c r="J67" s="5"/>
      <c r="K67" s="5"/>
      <c r="L67" s="8"/>
      <c r="M67" s="5"/>
    </row>
    <row r="68" spans="1:13" x14ac:dyDescent="0.2">
      <c r="A68" s="12" t="str">
        <f t="shared" ref="A68:A99" si="6">IF(E68="","","R-"&amp;TEXT(ROW()-3,"000"))</f>
        <v/>
      </c>
      <c r="B68" s="5"/>
      <c r="C68" s="5"/>
      <c r="D68" s="5"/>
      <c r="E68" s="5"/>
      <c r="F68" s="5"/>
      <c r="G68" s="5"/>
      <c r="H68" s="7" t="str">
        <f t="shared" ref="H68:H99" si="7">IF(OR(F68="",G68=""),"",F68*G68)</f>
        <v/>
      </c>
      <c r="I68" s="6" t="str">
        <f t="shared" ref="I68:I99" si="8">IF(H68="","",IF(H68&gt;=20,"Critical",IF(H68&gt;=12,"High",IF(H68&gt;=6,"Medium","Low"))))</f>
        <v/>
      </c>
      <c r="J68" s="5"/>
      <c r="K68" s="5"/>
      <c r="L68" s="8"/>
      <c r="M68" s="5"/>
    </row>
    <row r="69" spans="1:13" x14ac:dyDescent="0.2">
      <c r="A69" s="12" t="str">
        <f t="shared" si="6"/>
        <v/>
      </c>
      <c r="B69" s="5"/>
      <c r="C69" s="5"/>
      <c r="D69" s="5"/>
      <c r="E69" s="5"/>
      <c r="F69" s="5"/>
      <c r="G69" s="5"/>
      <c r="H69" s="7" t="str">
        <f t="shared" si="7"/>
        <v/>
      </c>
      <c r="I69" s="6" t="str">
        <f t="shared" si="8"/>
        <v/>
      </c>
      <c r="J69" s="5"/>
      <c r="K69" s="5"/>
      <c r="L69" s="8"/>
      <c r="M69" s="5"/>
    </row>
    <row r="70" spans="1:13" x14ac:dyDescent="0.2">
      <c r="A70" s="12" t="str">
        <f t="shared" si="6"/>
        <v/>
      </c>
      <c r="B70" s="5"/>
      <c r="C70" s="5"/>
      <c r="D70" s="5"/>
      <c r="E70" s="5"/>
      <c r="F70" s="5"/>
      <c r="G70" s="5"/>
      <c r="H70" s="7" t="str">
        <f t="shared" si="7"/>
        <v/>
      </c>
      <c r="I70" s="6" t="str">
        <f t="shared" si="8"/>
        <v/>
      </c>
      <c r="J70" s="5"/>
      <c r="K70" s="5"/>
      <c r="L70" s="8"/>
      <c r="M70" s="5"/>
    </row>
    <row r="71" spans="1:13" x14ac:dyDescent="0.2">
      <c r="A71" s="12" t="str">
        <f t="shared" si="6"/>
        <v/>
      </c>
      <c r="B71" s="5"/>
      <c r="C71" s="5"/>
      <c r="D71" s="5"/>
      <c r="E71" s="5"/>
      <c r="F71" s="5"/>
      <c r="G71" s="5"/>
      <c r="H71" s="7" t="str">
        <f t="shared" si="7"/>
        <v/>
      </c>
      <c r="I71" s="6" t="str">
        <f t="shared" si="8"/>
        <v/>
      </c>
      <c r="J71" s="5"/>
      <c r="K71" s="5"/>
      <c r="L71" s="8"/>
      <c r="M71" s="5"/>
    </row>
    <row r="72" spans="1:13" x14ac:dyDescent="0.2">
      <c r="A72" s="12" t="str">
        <f t="shared" si="6"/>
        <v/>
      </c>
      <c r="B72" s="5"/>
      <c r="C72" s="5"/>
      <c r="D72" s="5"/>
      <c r="E72" s="5"/>
      <c r="F72" s="5"/>
      <c r="G72" s="5"/>
      <c r="H72" s="7" t="str">
        <f t="shared" si="7"/>
        <v/>
      </c>
      <c r="I72" s="6" t="str">
        <f t="shared" si="8"/>
        <v/>
      </c>
      <c r="J72" s="5"/>
      <c r="K72" s="5"/>
      <c r="L72" s="8"/>
      <c r="M72" s="5"/>
    </row>
    <row r="73" spans="1:13" x14ac:dyDescent="0.2">
      <c r="A73" s="12" t="str">
        <f t="shared" si="6"/>
        <v/>
      </c>
      <c r="B73" s="5"/>
      <c r="C73" s="5"/>
      <c r="D73" s="5"/>
      <c r="E73" s="5"/>
      <c r="F73" s="5"/>
      <c r="G73" s="5"/>
      <c r="H73" s="7" t="str">
        <f t="shared" si="7"/>
        <v/>
      </c>
      <c r="I73" s="6" t="str">
        <f t="shared" si="8"/>
        <v/>
      </c>
      <c r="J73" s="5"/>
      <c r="K73" s="5"/>
      <c r="L73" s="8"/>
      <c r="M73" s="5"/>
    </row>
    <row r="74" spans="1:13" x14ac:dyDescent="0.2">
      <c r="A74" s="12" t="str">
        <f t="shared" si="6"/>
        <v/>
      </c>
      <c r="B74" s="5"/>
      <c r="C74" s="5"/>
      <c r="D74" s="5"/>
      <c r="E74" s="5"/>
      <c r="F74" s="5"/>
      <c r="G74" s="5"/>
      <c r="H74" s="7" t="str">
        <f t="shared" si="7"/>
        <v/>
      </c>
      <c r="I74" s="6" t="str">
        <f t="shared" si="8"/>
        <v/>
      </c>
      <c r="J74" s="5"/>
      <c r="K74" s="5"/>
      <c r="L74" s="8"/>
      <c r="M74" s="5"/>
    </row>
    <row r="75" spans="1:13" x14ac:dyDescent="0.2">
      <c r="A75" s="12" t="str">
        <f t="shared" si="6"/>
        <v/>
      </c>
      <c r="B75" s="5"/>
      <c r="C75" s="5"/>
      <c r="D75" s="5"/>
      <c r="E75" s="5"/>
      <c r="F75" s="5"/>
      <c r="G75" s="5"/>
      <c r="H75" s="7" t="str">
        <f t="shared" si="7"/>
        <v/>
      </c>
      <c r="I75" s="6" t="str">
        <f t="shared" si="8"/>
        <v/>
      </c>
      <c r="J75" s="5"/>
      <c r="K75" s="5"/>
      <c r="L75" s="8"/>
      <c r="M75" s="5"/>
    </row>
    <row r="76" spans="1:13" x14ac:dyDescent="0.2">
      <c r="A76" s="12" t="str">
        <f t="shared" si="6"/>
        <v/>
      </c>
      <c r="B76" s="5"/>
      <c r="C76" s="5"/>
      <c r="D76" s="5"/>
      <c r="E76" s="5"/>
      <c r="F76" s="5"/>
      <c r="G76" s="5"/>
      <c r="H76" s="7" t="str">
        <f t="shared" si="7"/>
        <v/>
      </c>
      <c r="I76" s="6" t="str">
        <f t="shared" si="8"/>
        <v/>
      </c>
      <c r="J76" s="5"/>
      <c r="K76" s="5"/>
      <c r="L76" s="8"/>
      <c r="M76" s="5"/>
    </row>
    <row r="77" spans="1:13" x14ac:dyDescent="0.2">
      <c r="A77" s="12" t="str">
        <f t="shared" si="6"/>
        <v/>
      </c>
      <c r="B77" s="5"/>
      <c r="C77" s="5"/>
      <c r="D77" s="5"/>
      <c r="E77" s="5"/>
      <c r="F77" s="5"/>
      <c r="G77" s="5"/>
      <c r="H77" s="7" t="str">
        <f t="shared" si="7"/>
        <v/>
      </c>
      <c r="I77" s="6" t="str">
        <f t="shared" si="8"/>
        <v/>
      </c>
      <c r="J77" s="5"/>
      <c r="K77" s="5"/>
      <c r="L77" s="8"/>
      <c r="M77" s="5"/>
    </row>
    <row r="78" spans="1:13" x14ac:dyDescent="0.2">
      <c r="A78" s="12" t="str">
        <f t="shared" si="6"/>
        <v/>
      </c>
      <c r="B78" s="5"/>
      <c r="C78" s="5"/>
      <c r="D78" s="5"/>
      <c r="E78" s="5"/>
      <c r="F78" s="5"/>
      <c r="G78" s="5"/>
      <c r="H78" s="7" t="str">
        <f t="shared" si="7"/>
        <v/>
      </c>
      <c r="I78" s="6" t="str">
        <f t="shared" si="8"/>
        <v/>
      </c>
      <c r="J78" s="5"/>
      <c r="K78" s="5"/>
      <c r="L78" s="8"/>
      <c r="M78" s="5"/>
    </row>
    <row r="79" spans="1:13" x14ac:dyDescent="0.2">
      <c r="A79" s="12" t="str">
        <f t="shared" si="6"/>
        <v/>
      </c>
      <c r="B79" s="5"/>
      <c r="C79" s="5"/>
      <c r="D79" s="5"/>
      <c r="E79" s="5"/>
      <c r="F79" s="5"/>
      <c r="G79" s="5"/>
      <c r="H79" s="7" t="str">
        <f t="shared" si="7"/>
        <v/>
      </c>
      <c r="I79" s="6" t="str">
        <f t="shared" si="8"/>
        <v/>
      </c>
      <c r="J79" s="5"/>
      <c r="K79" s="5"/>
      <c r="L79" s="8"/>
      <c r="M79" s="5"/>
    </row>
    <row r="80" spans="1:13" x14ac:dyDescent="0.2">
      <c r="A80" s="12" t="str">
        <f t="shared" si="6"/>
        <v/>
      </c>
      <c r="B80" s="5"/>
      <c r="C80" s="5"/>
      <c r="D80" s="5"/>
      <c r="E80" s="5"/>
      <c r="F80" s="5"/>
      <c r="G80" s="5"/>
      <c r="H80" s="7" t="str">
        <f t="shared" si="7"/>
        <v/>
      </c>
      <c r="I80" s="6" t="str">
        <f t="shared" si="8"/>
        <v/>
      </c>
      <c r="J80" s="5"/>
      <c r="K80" s="5"/>
      <c r="L80" s="8"/>
      <c r="M80" s="5"/>
    </row>
    <row r="81" spans="1:13" x14ac:dyDescent="0.2">
      <c r="A81" s="12" t="str">
        <f t="shared" si="6"/>
        <v/>
      </c>
      <c r="B81" s="5"/>
      <c r="C81" s="5"/>
      <c r="D81" s="5"/>
      <c r="E81" s="5"/>
      <c r="F81" s="5"/>
      <c r="G81" s="5"/>
      <c r="H81" s="7" t="str">
        <f t="shared" si="7"/>
        <v/>
      </c>
      <c r="I81" s="6" t="str">
        <f t="shared" si="8"/>
        <v/>
      </c>
      <c r="J81" s="5"/>
      <c r="K81" s="5"/>
      <c r="L81" s="8"/>
      <c r="M81" s="5"/>
    </row>
    <row r="82" spans="1:13" x14ac:dyDescent="0.2">
      <c r="A82" s="12" t="str">
        <f t="shared" si="6"/>
        <v/>
      </c>
      <c r="B82" s="5"/>
      <c r="C82" s="5"/>
      <c r="D82" s="5"/>
      <c r="E82" s="5"/>
      <c r="F82" s="5"/>
      <c r="G82" s="5"/>
      <c r="H82" s="7" t="str">
        <f t="shared" si="7"/>
        <v/>
      </c>
      <c r="I82" s="6" t="str">
        <f t="shared" si="8"/>
        <v/>
      </c>
      <c r="J82" s="5"/>
      <c r="K82" s="5"/>
      <c r="L82" s="8"/>
      <c r="M82" s="5"/>
    </row>
    <row r="83" spans="1:13" x14ac:dyDescent="0.2">
      <c r="A83" s="12" t="str">
        <f t="shared" si="6"/>
        <v/>
      </c>
      <c r="B83" s="5"/>
      <c r="C83" s="5"/>
      <c r="D83" s="5"/>
      <c r="E83" s="5"/>
      <c r="F83" s="5"/>
      <c r="G83" s="5"/>
      <c r="H83" s="7" t="str">
        <f t="shared" si="7"/>
        <v/>
      </c>
      <c r="I83" s="6" t="str">
        <f t="shared" si="8"/>
        <v/>
      </c>
      <c r="J83" s="5"/>
      <c r="K83" s="5"/>
      <c r="L83" s="8"/>
      <c r="M83" s="5"/>
    </row>
    <row r="84" spans="1:13" x14ac:dyDescent="0.2">
      <c r="A84" s="12" t="str">
        <f t="shared" si="6"/>
        <v/>
      </c>
      <c r="B84" s="5"/>
      <c r="C84" s="5"/>
      <c r="D84" s="5"/>
      <c r="E84" s="5"/>
      <c r="F84" s="5"/>
      <c r="G84" s="5"/>
      <c r="H84" s="7" t="str">
        <f t="shared" si="7"/>
        <v/>
      </c>
      <c r="I84" s="6" t="str">
        <f t="shared" si="8"/>
        <v/>
      </c>
      <c r="J84" s="5"/>
      <c r="K84" s="5"/>
      <c r="L84" s="8"/>
      <c r="M84" s="5"/>
    </row>
    <row r="85" spans="1:13" x14ac:dyDescent="0.2">
      <c r="A85" s="12" t="str">
        <f t="shared" si="6"/>
        <v/>
      </c>
      <c r="B85" s="5"/>
      <c r="C85" s="5"/>
      <c r="D85" s="5"/>
      <c r="E85" s="5"/>
      <c r="F85" s="5"/>
      <c r="G85" s="5"/>
      <c r="H85" s="7" t="str">
        <f t="shared" si="7"/>
        <v/>
      </c>
      <c r="I85" s="6" t="str">
        <f t="shared" si="8"/>
        <v/>
      </c>
      <c r="J85" s="5"/>
      <c r="K85" s="5"/>
      <c r="L85" s="8"/>
      <c r="M85" s="5"/>
    </row>
    <row r="86" spans="1:13" x14ac:dyDescent="0.2">
      <c r="A86" s="12" t="str">
        <f t="shared" si="6"/>
        <v/>
      </c>
      <c r="B86" s="5"/>
      <c r="C86" s="5"/>
      <c r="D86" s="5"/>
      <c r="E86" s="5"/>
      <c r="F86" s="5"/>
      <c r="G86" s="5"/>
      <c r="H86" s="7" t="str">
        <f t="shared" si="7"/>
        <v/>
      </c>
      <c r="I86" s="6" t="str">
        <f t="shared" si="8"/>
        <v/>
      </c>
      <c r="J86" s="5"/>
      <c r="K86" s="5"/>
      <c r="L86" s="8"/>
      <c r="M86" s="5"/>
    </row>
    <row r="87" spans="1:13" x14ac:dyDescent="0.2">
      <c r="A87" s="12" t="str">
        <f t="shared" si="6"/>
        <v/>
      </c>
      <c r="B87" s="5"/>
      <c r="C87" s="5"/>
      <c r="D87" s="5"/>
      <c r="E87" s="5"/>
      <c r="F87" s="5"/>
      <c r="G87" s="5"/>
      <c r="H87" s="7" t="str">
        <f t="shared" si="7"/>
        <v/>
      </c>
      <c r="I87" s="6" t="str">
        <f t="shared" si="8"/>
        <v/>
      </c>
      <c r="J87" s="5"/>
      <c r="K87" s="5"/>
      <c r="L87" s="8"/>
      <c r="M87" s="5"/>
    </row>
    <row r="88" spans="1:13" x14ac:dyDescent="0.2">
      <c r="A88" s="12" t="str">
        <f t="shared" si="6"/>
        <v/>
      </c>
      <c r="B88" s="5"/>
      <c r="C88" s="5"/>
      <c r="D88" s="5"/>
      <c r="E88" s="5"/>
      <c r="F88" s="5"/>
      <c r="G88" s="5"/>
      <c r="H88" s="7" t="str">
        <f t="shared" si="7"/>
        <v/>
      </c>
      <c r="I88" s="6" t="str">
        <f t="shared" si="8"/>
        <v/>
      </c>
      <c r="J88" s="5"/>
      <c r="K88" s="5"/>
      <c r="L88" s="8"/>
      <c r="M88" s="5"/>
    </row>
    <row r="89" spans="1:13" x14ac:dyDescent="0.2">
      <c r="A89" s="12" t="str">
        <f t="shared" si="6"/>
        <v/>
      </c>
      <c r="B89" s="5"/>
      <c r="C89" s="5"/>
      <c r="D89" s="5"/>
      <c r="E89" s="5"/>
      <c r="F89" s="5"/>
      <c r="G89" s="5"/>
      <c r="H89" s="7" t="str">
        <f t="shared" si="7"/>
        <v/>
      </c>
      <c r="I89" s="6" t="str">
        <f t="shared" si="8"/>
        <v/>
      </c>
      <c r="J89" s="5"/>
      <c r="K89" s="5"/>
      <c r="L89" s="8"/>
      <c r="M89" s="5"/>
    </row>
    <row r="90" spans="1:13" x14ac:dyDescent="0.2">
      <c r="A90" s="12" t="str">
        <f t="shared" si="6"/>
        <v/>
      </c>
      <c r="B90" s="5"/>
      <c r="C90" s="5"/>
      <c r="D90" s="5"/>
      <c r="E90" s="5"/>
      <c r="F90" s="5"/>
      <c r="G90" s="5"/>
      <c r="H90" s="7" t="str">
        <f t="shared" si="7"/>
        <v/>
      </c>
      <c r="I90" s="6" t="str">
        <f t="shared" si="8"/>
        <v/>
      </c>
      <c r="J90" s="5"/>
      <c r="K90" s="5"/>
      <c r="L90" s="8"/>
      <c r="M90" s="5"/>
    </row>
    <row r="91" spans="1:13" x14ac:dyDescent="0.2">
      <c r="A91" s="12" t="str">
        <f t="shared" si="6"/>
        <v/>
      </c>
      <c r="B91" s="5"/>
      <c r="C91" s="5"/>
      <c r="D91" s="5"/>
      <c r="E91" s="5"/>
      <c r="F91" s="5"/>
      <c r="G91" s="5"/>
      <c r="H91" s="7" t="str">
        <f t="shared" si="7"/>
        <v/>
      </c>
      <c r="I91" s="6" t="str">
        <f t="shared" si="8"/>
        <v/>
      </c>
      <c r="J91" s="5"/>
      <c r="K91" s="5"/>
      <c r="L91" s="8"/>
      <c r="M91" s="5"/>
    </row>
    <row r="92" spans="1:13" x14ac:dyDescent="0.2">
      <c r="A92" s="12" t="str">
        <f t="shared" si="6"/>
        <v/>
      </c>
      <c r="B92" s="5"/>
      <c r="C92" s="5"/>
      <c r="D92" s="5"/>
      <c r="E92" s="5"/>
      <c r="F92" s="5"/>
      <c r="G92" s="5"/>
      <c r="H92" s="7" t="str">
        <f t="shared" si="7"/>
        <v/>
      </c>
      <c r="I92" s="6" t="str">
        <f t="shared" si="8"/>
        <v/>
      </c>
      <c r="J92" s="5"/>
      <c r="K92" s="5"/>
      <c r="L92" s="8"/>
      <c r="M92" s="5"/>
    </row>
    <row r="93" spans="1:13" x14ac:dyDescent="0.2">
      <c r="A93" s="12" t="str">
        <f t="shared" si="6"/>
        <v/>
      </c>
      <c r="B93" s="5"/>
      <c r="C93" s="5"/>
      <c r="D93" s="5"/>
      <c r="E93" s="5"/>
      <c r="F93" s="5"/>
      <c r="G93" s="5"/>
      <c r="H93" s="7" t="str">
        <f t="shared" si="7"/>
        <v/>
      </c>
      <c r="I93" s="6" t="str">
        <f t="shared" si="8"/>
        <v/>
      </c>
      <c r="J93" s="5"/>
      <c r="K93" s="5"/>
      <c r="L93" s="8"/>
      <c r="M93" s="5"/>
    </row>
    <row r="94" spans="1:13" x14ac:dyDescent="0.2">
      <c r="A94" s="12" t="str">
        <f t="shared" si="6"/>
        <v/>
      </c>
      <c r="B94" s="5"/>
      <c r="C94" s="5"/>
      <c r="D94" s="5"/>
      <c r="E94" s="5"/>
      <c r="F94" s="5"/>
      <c r="G94" s="5"/>
      <c r="H94" s="7" t="str">
        <f t="shared" si="7"/>
        <v/>
      </c>
      <c r="I94" s="6" t="str">
        <f t="shared" si="8"/>
        <v/>
      </c>
      <c r="J94" s="5"/>
      <c r="K94" s="5"/>
      <c r="L94" s="8"/>
      <c r="M94" s="5"/>
    </row>
    <row r="95" spans="1:13" x14ac:dyDescent="0.2">
      <c r="A95" s="12" t="str">
        <f t="shared" si="6"/>
        <v/>
      </c>
      <c r="B95" s="5"/>
      <c r="C95" s="5"/>
      <c r="D95" s="5"/>
      <c r="E95" s="5"/>
      <c r="F95" s="5"/>
      <c r="G95" s="5"/>
      <c r="H95" s="7" t="str">
        <f t="shared" si="7"/>
        <v/>
      </c>
      <c r="I95" s="6" t="str">
        <f t="shared" si="8"/>
        <v/>
      </c>
      <c r="J95" s="5"/>
      <c r="K95" s="5"/>
      <c r="L95" s="8"/>
      <c r="M95" s="5"/>
    </row>
    <row r="96" spans="1:13" x14ac:dyDescent="0.2">
      <c r="A96" s="12" t="str">
        <f t="shared" si="6"/>
        <v/>
      </c>
      <c r="B96" s="5"/>
      <c r="C96" s="5"/>
      <c r="D96" s="5"/>
      <c r="E96" s="5"/>
      <c r="F96" s="5"/>
      <c r="G96" s="5"/>
      <c r="H96" s="7" t="str">
        <f t="shared" si="7"/>
        <v/>
      </c>
      <c r="I96" s="6" t="str">
        <f t="shared" si="8"/>
        <v/>
      </c>
      <c r="J96" s="5"/>
      <c r="K96" s="5"/>
      <c r="L96" s="8"/>
      <c r="M96" s="5"/>
    </row>
    <row r="97" spans="1:13" x14ac:dyDescent="0.2">
      <c r="A97" s="12" t="str">
        <f t="shared" si="6"/>
        <v/>
      </c>
      <c r="B97" s="5"/>
      <c r="C97" s="5"/>
      <c r="D97" s="5"/>
      <c r="E97" s="5"/>
      <c r="F97" s="5"/>
      <c r="G97" s="5"/>
      <c r="H97" s="7" t="str">
        <f t="shared" si="7"/>
        <v/>
      </c>
      <c r="I97" s="6" t="str">
        <f t="shared" si="8"/>
        <v/>
      </c>
      <c r="J97" s="5"/>
      <c r="K97" s="5"/>
      <c r="L97" s="8"/>
      <c r="M97" s="5"/>
    </row>
    <row r="98" spans="1:13" x14ac:dyDescent="0.2">
      <c r="A98" s="12" t="str">
        <f t="shared" si="6"/>
        <v/>
      </c>
      <c r="B98" s="5"/>
      <c r="C98" s="5"/>
      <c r="D98" s="5"/>
      <c r="E98" s="5"/>
      <c r="F98" s="5"/>
      <c r="G98" s="5"/>
      <c r="H98" s="7" t="str">
        <f t="shared" si="7"/>
        <v/>
      </c>
      <c r="I98" s="6" t="str">
        <f t="shared" si="8"/>
        <v/>
      </c>
      <c r="J98" s="5"/>
      <c r="K98" s="5"/>
      <c r="L98" s="8"/>
      <c r="M98" s="5"/>
    </row>
    <row r="99" spans="1:13" x14ac:dyDescent="0.2">
      <c r="A99" s="12" t="str">
        <f t="shared" si="6"/>
        <v/>
      </c>
      <c r="B99" s="5"/>
      <c r="C99" s="5"/>
      <c r="D99" s="5"/>
      <c r="E99" s="5"/>
      <c r="F99" s="5"/>
      <c r="G99" s="5"/>
      <c r="H99" s="7" t="str">
        <f t="shared" si="7"/>
        <v/>
      </c>
      <c r="I99" s="6" t="str">
        <f t="shared" si="8"/>
        <v/>
      </c>
      <c r="J99" s="5"/>
      <c r="K99" s="5"/>
      <c r="L99" s="8"/>
      <c r="M99" s="5"/>
    </row>
    <row r="100" spans="1:13" x14ac:dyDescent="0.2">
      <c r="A100" s="12" t="str">
        <f t="shared" ref="A100:A120" si="9">IF(E100="","","R-"&amp;TEXT(ROW()-3,"000"))</f>
        <v/>
      </c>
      <c r="B100" s="5"/>
      <c r="C100" s="5"/>
      <c r="D100" s="5"/>
      <c r="E100" s="5"/>
      <c r="F100" s="5"/>
      <c r="G100" s="5"/>
      <c r="H100" s="7" t="str">
        <f t="shared" ref="H100:H120" si="10">IF(OR(F100="",G100=""),"",F100*G100)</f>
        <v/>
      </c>
      <c r="I100" s="6" t="str">
        <f t="shared" ref="I100:I120" si="11">IF(H100="","",IF(H100&gt;=20,"Critical",IF(H100&gt;=12,"High",IF(H100&gt;=6,"Medium","Low"))))</f>
        <v/>
      </c>
      <c r="J100" s="5"/>
      <c r="K100" s="5"/>
      <c r="L100" s="8"/>
      <c r="M100" s="5"/>
    </row>
    <row r="101" spans="1:13" x14ac:dyDescent="0.2">
      <c r="A101" s="12" t="str">
        <f t="shared" si="9"/>
        <v/>
      </c>
      <c r="B101" s="5"/>
      <c r="C101" s="5"/>
      <c r="D101" s="5"/>
      <c r="E101" s="5"/>
      <c r="F101" s="5"/>
      <c r="G101" s="5"/>
      <c r="H101" s="7" t="str">
        <f t="shared" si="10"/>
        <v/>
      </c>
      <c r="I101" s="6" t="str">
        <f t="shared" si="11"/>
        <v/>
      </c>
      <c r="J101" s="5"/>
      <c r="K101" s="5"/>
      <c r="L101" s="8"/>
      <c r="M101" s="5"/>
    </row>
    <row r="102" spans="1:13" x14ac:dyDescent="0.2">
      <c r="A102" s="12" t="str">
        <f t="shared" si="9"/>
        <v/>
      </c>
      <c r="B102" s="5"/>
      <c r="C102" s="5"/>
      <c r="D102" s="5"/>
      <c r="E102" s="5"/>
      <c r="F102" s="5"/>
      <c r="G102" s="5"/>
      <c r="H102" s="7" t="str">
        <f t="shared" si="10"/>
        <v/>
      </c>
      <c r="I102" s="6" t="str">
        <f t="shared" si="11"/>
        <v/>
      </c>
      <c r="J102" s="5"/>
      <c r="K102" s="5"/>
      <c r="L102" s="8"/>
      <c r="M102" s="5"/>
    </row>
    <row r="103" spans="1:13" x14ac:dyDescent="0.2">
      <c r="A103" s="12" t="str">
        <f t="shared" si="9"/>
        <v/>
      </c>
      <c r="B103" s="5"/>
      <c r="C103" s="5"/>
      <c r="D103" s="5"/>
      <c r="E103" s="5"/>
      <c r="F103" s="5"/>
      <c r="G103" s="5"/>
      <c r="H103" s="7" t="str">
        <f t="shared" si="10"/>
        <v/>
      </c>
      <c r="I103" s="6" t="str">
        <f t="shared" si="11"/>
        <v/>
      </c>
      <c r="J103" s="5"/>
      <c r="K103" s="5"/>
      <c r="L103" s="8"/>
      <c r="M103" s="5"/>
    </row>
    <row r="104" spans="1:13" x14ac:dyDescent="0.2">
      <c r="A104" s="12" t="str">
        <f t="shared" si="9"/>
        <v/>
      </c>
      <c r="B104" s="5"/>
      <c r="C104" s="5"/>
      <c r="D104" s="5"/>
      <c r="E104" s="5"/>
      <c r="F104" s="5"/>
      <c r="G104" s="5"/>
      <c r="H104" s="7" t="str">
        <f t="shared" si="10"/>
        <v/>
      </c>
      <c r="I104" s="6" t="str">
        <f t="shared" si="11"/>
        <v/>
      </c>
      <c r="J104" s="5"/>
      <c r="K104" s="5"/>
      <c r="L104" s="8"/>
      <c r="M104" s="5"/>
    </row>
    <row r="105" spans="1:13" x14ac:dyDescent="0.2">
      <c r="A105" s="12" t="str">
        <f t="shared" si="9"/>
        <v/>
      </c>
      <c r="B105" s="5"/>
      <c r="C105" s="5"/>
      <c r="D105" s="5"/>
      <c r="E105" s="5"/>
      <c r="F105" s="5"/>
      <c r="G105" s="5"/>
      <c r="H105" s="7" t="str">
        <f t="shared" si="10"/>
        <v/>
      </c>
      <c r="I105" s="6" t="str">
        <f t="shared" si="11"/>
        <v/>
      </c>
      <c r="J105" s="5"/>
      <c r="K105" s="5"/>
      <c r="L105" s="8"/>
      <c r="M105" s="5"/>
    </row>
    <row r="106" spans="1:13" x14ac:dyDescent="0.2">
      <c r="A106" s="12" t="str">
        <f t="shared" si="9"/>
        <v/>
      </c>
      <c r="B106" s="5"/>
      <c r="C106" s="5"/>
      <c r="D106" s="5"/>
      <c r="E106" s="5"/>
      <c r="F106" s="5"/>
      <c r="G106" s="5"/>
      <c r="H106" s="7" t="str">
        <f t="shared" si="10"/>
        <v/>
      </c>
      <c r="I106" s="6" t="str">
        <f t="shared" si="11"/>
        <v/>
      </c>
      <c r="J106" s="5"/>
      <c r="K106" s="5"/>
      <c r="L106" s="8"/>
      <c r="M106" s="5"/>
    </row>
    <row r="107" spans="1:13" x14ac:dyDescent="0.2">
      <c r="A107" s="12" t="str">
        <f t="shared" si="9"/>
        <v/>
      </c>
      <c r="B107" s="5"/>
      <c r="C107" s="5"/>
      <c r="D107" s="5"/>
      <c r="E107" s="5"/>
      <c r="F107" s="5"/>
      <c r="G107" s="5"/>
      <c r="H107" s="7" t="str">
        <f t="shared" si="10"/>
        <v/>
      </c>
      <c r="I107" s="6" t="str">
        <f t="shared" si="11"/>
        <v/>
      </c>
      <c r="J107" s="5"/>
      <c r="K107" s="5"/>
      <c r="L107" s="8"/>
      <c r="M107" s="5"/>
    </row>
    <row r="108" spans="1:13" x14ac:dyDescent="0.2">
      <c r="A108" s="12" t="str">
        <f t="shared" si="9"/>
        <v/>
      </c>
      <c r="B108" s="5"/>
      <c r="C108" s="5"/>
      <c r="D108" s="5"/>
      <c r="E108" s="5"/>
      <c r="F108" s="5"/>
      <c r="G108" s="5"/>
      <c r="H108" s="7" t="str">
        <f t="shared" si="10"/>
        <v/>
      </c>
      <c r="I108" s="6" t="str">
        <f t="shared" si="11"/>
        <v/>
      </c>
      <c r="J108" s="5"/>
      <c r="K108" s="5"/>
      <c r="L108" s="8"/>
      <c r="M108" s="5"/>
    </row>
    <row r="109" spans="1:13" x14ac:dyDescent="0.2">
      <c r="A109" s="12" t="str">
        <f t="shared" si="9"/>
        <v/>
      </c>
      <c r="B109" s="5"/>
      <c r="C109" s="5"/>
      <c r="D109" s="5"/>
      <c r="E109" s="5"/>
      <c r="F109" s="5"/>
      <c r="G109" s="5"/>
      <c r="H109" s="7" t="str">
        <f t="shared" si="10"/>
        <v/>
      </c>
      <c r="I109" s="6" t="str">
        <f t="shared" si="11"/>
        <v/>
      </c>
      <c r="J109" s="5"/>
      <c r="K109" s="5"/>
      <c r="L109" s="8"/>
      <c r="M109" s="5"/>
    </row>
    <row r="110" spans="1:13" x14ac:dyDescent="0.2">
      <c r="A110" s="12" t="str">
        <f t="shared" si="9"/>
        <v/>
      </c>
      <c r="B110" s="5"/>
      <c r="C110" s="5"/>
      <c r="D110" s="5"/>
      <c r="E110" s="5"/>
      <c r="F110" s="5"/>
      <c r="G110" s="5"/>
      <c r="H110" s="7" t="str">
        <f t="shared" si="10"/>
        <v/>
      </c>
      <c r="I110" s="6" t="str">
        <f t="shared" si="11"/>
        <v/>
      </c>
      <c r="J110" s="5"/>
      <c r="K110" s="5"/>
      <c r="L110" s="8"/>
      <c r="M110" s="5"/>
    </row>
    <row r="111" spans="1:13" x14ac:dyDescent="0.2">
      <c r="A111" s="12" t="str">
        <f t="shared" si="9"/>
        <v/>
      </c>
      <c r="B111" s="5"/>
      <c r="C111" s="5"/>
      <c r="D111" s="5"/>
      <c r="E111" s="5"/>
      <c r="F111" s="5"/>
      <c r="G111" s="5"/>
      <c r="H111" s="7" t="str">
        <f t="shared" si="10"/>
        <v/>
      </c>
      <c r="I111" s="6" t="str">
        <f t="shared" si="11"/>
        <v/>
      </c>
      <c r="J111" s="5"/>
      <c r="K111" s="5"/>
      <c r="L111" s="8"/>
      <c r="M111" s="5"/>
    </row>
    <row r="112" spans="1:13" x14ac:dyDescent="0.2">
      <c r="A112" s="12" t="str">
        <f t="shared" si="9"/>
        <v/>
      </c>
      <c r="B112" s="5"/>
      <c r="C112" s="5"/>
      <c r="D112" s="5"/>
      <c r="E112" s="5"/>
      <c r="F112" s="5"/>
      <c r="G112" s="5"/>
      <c r="H112" s="7" t="str">
        <f t="shared" si="10"/>
        <v/>
      </c>
      <c r="I112" s="6" t="str">
        <f t="shared" si="11"/>
        <v/>
      </c>
      <c r="J112" s="5"/>
      <c r="K112" s="5"/>
      <c r="L112" s="8"/>
      <c r="M112" s="5"/>
    </row>
    <row r="113" spans="1:13" x14ac:dyDescent="0.2">
      <c r="A113" s="12" t="str">
        <f t="shared" si="9"/>
        <v/>
      </c>
      <c r="B113" s="5"/>
      <c r="C113" s="5"/>
      <c r="D113" s="5"/>
      <c r="E113" s="5"/>
      <c r="F113" s="5"/>
      <c r="G113" s="5"/>
      <c r="H113" s="7" t="str">
        <f t="shared" si="10"/>
        <v/>
      </c>
      <c r="I113" s="6" t="str">
        <f t="shared" si="11"/>
        <v/>
      </c>
      <c r="J113" s="5"/>
      <c r="K113" s="5"/>
      <c r="L113" s="8"/>
      <c r="M113" s="5"/>
    </row>
    <row r="114" spans="1:13" x14ac:dyDescent="0.2">
      <c r="A114" s="12" t="str">
        <f t="shared" si="9"/>
        <v/>
      </c>
      <c r="B114" s="5"/>
      <c r="C114" s="5"/>
      <c r="D114" s="5"/>
      <c r="E114" s="5"/>
      <c r="F114" s="5"/>
      <c r="G114" s="5"/>
      <c r="H114" s="7" t="str">
        <f t="shared" si="10"/>
        <v/>
      </c>
      <c r="I114" s="6" t="str">
        <f t="shared" si="11"/>
        <v/>
      </c>
      <c r="J114" s="5"/>
      <c r="K114" s="5"/>
      <c r="L114" s="8"/>
      <c r="M114" s="5"/>
    </row>
    <row r="115" spans="1:13" x14ac:dyDescent="0.2">
      <c r="A115" s="12" t="str">
        <f t="shared" si="9"/>
        <v/>
      </c>
      <c r="B115" s="5"/>
      <c r="C115" s="5"/>
      <c r="D115" s="5"/>
      <c r="E115" s="5"/>
      <c r="F115" s="5"/>
      <c r="G115" s="5"/>
      <c r="H115" s="7" t="str">
        <f t="shared" si="10"/>
        <v/>
      </c>
      <c r="I115" s="6" t="str">
        <f t="shared" si="11"/>
        <v/>
      </c>
      <c r="J115" s="5"/>
      <c r="K115" s="5"/>
      <c r="L115" s="8"/>
      <c r="M115" s="5"/>
    </row>
    <row r="116" spans="1:13" x14ac:dyDescent="0.2">
      <c r="A116" s="12" t="str">
        <f t="shared" si="9"/>
        <v/>
      </c>
      <c r="B116" s="5"/>
      <c r="C116" s="5"/>
      <c r="D116" s="5"/>
      <c r="E116" s="5"/>
      <c r="F116" s="5"/>
      <c r="G116" s="5"/>
      <c r="H116" s="7" t="str">
        <f t="shared" si="10"/>
        <v/>
      </c>
      <c r="I116" s="6" t="str">
        <f t="shared" si="11"/>
        <v/>
      </c>
      <c r="J116" s="5"/>
      <c r="K116" s="5"/>
      <c r="L116" s="8"/>
      <c r="M116" s="5"/>
    </row>
    <row r="117" spans="1:13" x14ac:dyDescent="0.2">
      <c r="A117" s="12" t="str">
        <f t="shared" si="9"/>
        <v/>
      </c>
      <c r="B117" s="5"/>
      <c r="C117" s="5"/>
      <c r="D117" s="5"/>
      <c r="E117" s="5"/>
      <c r="F117" s="5"/>
      <c r="G117" s="5"/>
      <c r="H117" s="7" t="str">
        <f t="shared" si="10"/>
        <v/>
      </c>
      <c r="I117" s="6" t="str">
        <f t="shared" si="11"/>
        <v/>
      </c>
      <c r="J117" s="5"/>
      <c r="K117" s="5"/>
      <c r="L117" s="8"/>
      <c r="M117" s="5"/>
    </row>
    <row r="118" spans="1:13" x14ac:dyDescent="0.2">
      <c r="A118" s="12" t="str">
        <f t="shared" si="9"/>
        <v/>
      </c>
      <c r="B118" s="5"/>
      <c r="C118" s="5"/>
      <c r="D118" s="5"/>
      <c r="E118" s="5"/>
      <c r="F118" s="5"/>
      <c r="G118" s="5"/>
      <c r="H118" s="7" t="str">
        <f t="shared" si="10"/>
        <v/>
      </c>
      <c r="I118" s="6" t="str">
        <f t="shared" si="11"/>
        <v/>
      </c>
      <c r="J118" s="5"/>
      <c r="K118" s="5"/>
      <c r="L118" s="8"/>
      <c r="M118" s="5"/>
    </row>
    <row r="119" spans="1:13" x14ac:dyDescent="0.2">
      <c r="A119" s="12" t="str">
        <f t="shared" si="9"/>
        <v/>
      </c>
      <c r="B119" s="5"/>
      <c r="C119" s="5"/>
      <c r="D119" s="5"/>
      <c r="E119" s="5"/>
      <c r="F119" s="5"/>
      <c r="G119" s="5"/>
      <c r="H119" s="7" t="str">
        <f t="shared" si="10"/>
        <v/>
      </c>
      <c r="I119" s="6" t="str">
        <f t="shared" si="11"/>
        <v/>
      </c>
      <c r="J119" s="5"/>
      <c r="K119" s="5"/>
      <c r="L119" s="8"/>
      <c r="M119" s="5"/>
    </row>
    <row r="120" spans="1:13" x14ac:dyDescent="0.2">
      <c r="A120" s="12" t="str">
        <f t="shared" si="9"/>
        <v/>
      </c>
      <c r="B120" s="5"/>
      <c r="C120" s="5"/>
      <c r="D120" s="5"/>
      <c r="E120" s="5"/>
      <c r="F120" s="5"/>
      <c r="G120" s="5"/>
      <c r="H120" s="7" t="str">
        <f t="shared" si="10"/>
        <v/>
      </c>
      <c r="I120" s="6" t="str">
        <f t="shared" si="11"/>
        <v/>
      </c>
      <c r="J120" s="5"/>
      <c r="K120" s="5"/>
      <c r="L120" s="8"/>
      <c r="M120" s="5"/>
    </row>
  </sheetData>
  <mergeCells count="1">
    <mergeCell ref="A1:M1"/>
  </mergeCells>
  <conditionalFormatting sqref="H4:H120">
    <cfRule type="colorScale" priority="1">
      <colorScale>
        <cfvo type="num" val="1"/>
        <cfvo type="num" val="12"/>
        <cfvo type="num" val="25"/>
        <color rgb="FFFFF2CC"/>
        <color rgb="FFF4B183"/>
        <color rgb="FFC00000"/>
      </colorScale>
    </cfRule>
  </conditionalFormatting>
  <conditionalFormatting sqref="I4:I120">
    <cfRule type="expression" dxfId="5" priority="2">
      <formula>I4="Critical"</formula>
    </cfRule>
    <cfRule type="expression" dxfId="4" priority="3">
      <formula>I4="High"</formula>
    </cfRule>
    <cfRule type="expression" dxfId="3" priority="4">
      <formula>I4="Medium"</formula>
    </cfRule>
    <cfRule type="expression" dxfId="2" priority="5">
      <formula>I4="Low"</formula>
    </cfRule>
  </conditionalFormatting>
  <dataValidations count="4">
    <dataValidation type="whole" allowBlank="1" sqref="F4:G120" xr:uid="{00000000-0002-0000-0400-000000000000}">
      <formula1>1</formula1>
      <formula2>5</formula2>
    </dataValidation>
    <dataValidation type="list" allowBlank="1" sqref="J4:J120" xr:uid="{00000000-0002-0000-0400-000001000000}">
      <formula1>TreatmentList</formula1>
    </dataValidation>
    <dataValidation type="list" allowBlank="1" sqref="K4:K120" xr:uid="{00000000-0002-0000-0400-000002000000}">
      <formula1>OwnerList</formula1>
    </dataValidation>
    <dataValidation type="list" allowBlank="1" sqref="M4:M120" xr:uid="{00000000-0002-0000-0400-000003000000}">
      <formula1>RemediationStatusList</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XFC120"/>
  <sheetViews>
    <sheetView showGridLines="0" topLeftCell="A3" workbookViewId="0">
      <selection activeCell="M11" sqref="M11"/>
    </sheetView>
  </sheetViews>
  <sheetFormatPr baseColWidth="10" defaultColWidth="0" defaultRowHeight="15" x14ac:dyDescent="0.2"/>
  <cols>
    <col min="1" max="1" width="12" customWidth="1"/>
    <col min="2" max="2" width="14" customWidth="1"/>
    <col min="3" max="3" width="28" customWidth="1"/>
    <col min="4" max="4" width="36" customWidth="1"/>
    <col min="5" max="5" width="14" customWidth="1"/>
    <col min="6" max="6" width="12" customWidth="1"/>
    <col min="7" max="9" width="14" customWidth="1"/>
    <col min="10" max="11" width="12" customWidth="1"/>
    <col min="12" max="13" width="30" customWidth="1"/>
    <col min="21" max="16383" width="8.83203125" hidden="1"/>
    <col min="16384" max="16384" width="1.83203125" customWidth="1"/>
  </cols>
  <sheetData>
    <row r="1" spans="1:13" ht="24" customHeight="1" x14ac:dyDescent="0.25">
      <c r="A1" s="45" t="s">
        <v>180</v>
      </c>
      <c r="B1" s="44"/>
      <c r="C1" s="44"/>
      <c r="D1" s="44"/>
      <c r="E1" s="44"/>
      <c r="F1" s="44"/>
      <c r="G1" s="44"/>
      <c r="H1" s="44"/>
      <c r="I1" s="44"/>
      <c r="J1" s="44"/>
      <c r="K1" s="44"/>
      <c r="L1" s="44"/>
      <c r="M1" s="44"/>
    </row>
    <row r="2" spans="1:13" ht="21" x14ac:dyDescent="0.25">
      <c r="A2" s="13"/>
      <c r="B2" s="13"/>
      <c r="C2" s="13"/>
      <c r="D2" s="13"/>
      <c r="E2" s="13"/>
      <c r="F2" s="13"/>
      <c r="G2" s="13"/>
      <c r="H2" s="13"/>
      <c r="I2" s="13"/>
      <c r="J2" s="13"/>
      <c r="K2" s="13"/>
      <c r="L2" s="13"/>
      <c r="M2" s="13"/>
    </row>
    <row r="3" spans="1:13" ht="34" customHeight="1" x14ac:dyDescent="0.2">
      <c r="A3" s="14" t="s">
        <v>181</v>
      </c>
      <c r="B3" s="14" t="s">
        <v>182</v>
      </c>
      <c r="C3" s="14" t="s">
        <v>183</v>
      </c>
      <c r="D3" s="14" t="s">
        <v>184</v>
      </c>
      <c r="E3" s="14" t="s">
        <v>42</v>
      </c>
      <c r="F3" s="14" t="s">
        <v>185</v>
      </c>
      <c r="G3" s="14" t="s">
        <v>106</v>
      </c>
      <c r="H3" s="14" t="s">
        <v>186</v>
      </c>
      <c r="I3" s="14" t="s">
        <v>159</v>
      </c>
      <c r="J3" s="14" t="s">
        <v>187</v>
      </c>
      <c r="K3" s="14" t="s">
        <v>188</v>
      </c>
      <c r="L3" s="14" t="s">
        <v>189</v>
      </c>
      <c r="M3" s="14" t="s">
        <v>308</v>
      </c>
    </row>
    <row r="4" spans="1:13" ht="69" x14ac:dyDescent="0.3">
      <c r="A4" s="21" t="str">
        <f t="shared" ref="A4:A35" si="0">IF(C4="","","I-"&amp;TEXT(ROW()-3,"000"))</f>
        <v>I-001</v>
      </c>
      <c r="B4" s="25" t="s">
        <v>190</v>
      </c>
      <c r="C4" s="25" t="s">
        <v>191</v>
      </c>
      <c r="D4" s="25" t="s">
        <v>192</v>
      </c>
      <c r="E4" s="25" t="s">
        <v>9</v>
      </c>
      <c r="F4" s="25" t="s">
        <v>15</v>
      </c>
      <c r="G4" s="25" t="s">
        <v>3</v>
      </c>
      <c r="H4" s="28">
        <v>46127</v>
      </c>
      <c r="I4" s="28">
        <v>46134</v>
      </c>
      <c r="J4" s="27">
        <f t="shared" ref="J4:J35" si="1">IF(OR(H4="",I4=""),"",I4-H4)</f>
        <v>7</v>
      </c>
      <c r="K4" s="26" t="str">
        <f t="shared" ref="K4:K35" ca="1" si="2">IF(OR(G4="",I4=""),"",IF(AND(G4&lt;&gt;"Closed",TODAY()&gt;I4),"Overdue","On Track"))</f>
        <v>On Track</v>
      </c>
      <c r="L4" s="25" t="s">
        <v>193</v>
      </c>
      <c r="M4" s="25" t="s">
        <v>309</v>
      </c>
    </row>
    <row r="5" spans="1:13" ht="69" x14ac:dyDescent="0.3">
      <c r="A5" s="21" t="str">
        <f t="shared" si="0"/>
        <v>I-002</v>
      </c>
      <c r="B5" s="25" t="s">
        <v>194</v>
      </c>
      <c r="C5" s="25" t="s">
        <v>195</v>
      </c>
      <c r="D5" s="25" t="s">
        <v>196</v>
      </c>
      <c r="E5" s="25" t="s">
        <v>4</v>
      </c>
      <c r="F5" s="25" t="s">
        <v>11</v>
      </c>
      <c r="G5" s="25" t="s">
        <v>3</v>
      </c>
      <c r="H5" s="28">
        <v>46127</v>
      </c>
      <c r="I5" s="28">
        <v>46134</v>
      </c>
      <c r="J5" s="27">
        <f t="shared" si="1"/>
        <v>7</v>
      </c>
      <c r="K5" s="26" t="str">
        <f t="shared" ca="1" si="2"/>
        <v>On Track</v>
      </c>
      <c r="L5" s="25" t="s">
        <v>197</v>
      </c>
      <c r="M5" s="25" t="s">
        <v>309</v>
      </c>
    </row>
    <row r="6" spans="1:13" ht="69" x14ac:dyDescent="0.3">
      <c r="A6" s="21" t="str">
        <f t="shared" si="0"/>
        <v>I-003</v>
      </c>
      <c r="B6" s="25" t="s">
        <v>198</v>
      </c>
      <c r="C6" s="25" t="s">
        <v>199</v>
      </c>
      <c r="D6" s="25" t="s">
        <v>200</v>
      </c>
      <c r="E6" s="25" t="s">
        <v>4</v>
      </c>
      <c r="F6" s="25" t="s">
        <v>1</v>
      </c>
      <c r="G6" s="25" t="s">
        <v>13</v>
      </c>
      <c r="H6" s="28">
        <v>46127</v>
      </c>
      <c r="I6" s="28">
        <v>46141</v>
      </c>
      <c r="J6" s="27">
        <f t="shared" si="1"/>
        <v>14</v>
      </c>
      <c r="K6" s="26" t="str">
        <f t="shared" ca="1" si="2"/>
        <v>On Track</v>
      </c>
      <c r="L6" s="25" t="s">
        <v>201</v>
      </c>
      <c r="M6" s="25" t="s">
        <v>311</v>
      </c>
    </row>
    <row r="7" spans="1:13" ht="46" x14ac:dyDescent="0.3">
      <c r="A7" s="21" t="str">
        <f t="shared" si="0"/>
        <v>I-004</v>
      </c>
      <c r="B7" s="25" t="s">
        <v>202</v>
      </c>
      <c r="C7" s="25" t="s">
        <v>203</v>
      </c>
      <c r="D7" s="25" t="s">
        <v>204</v>
      </c>
      <c r="E7" s="25" t="s">
        <v>9</v>
      </c>
      <c r="F7" s="25" t="s">
        <v>6</v>
      </c>
      <c r="G7" s="25" t="s">
        <v>3</v>
      </c>
      <c r="H7" s="28">
        <v>46127</v>
      </c>
      <c r="I7" s="28">
        <v>46134</v>
      </c>
      <c r="J7" s="27">
        <f t="shared" si="1"/>
        <v>7</v>
      </c>
      <c r="K7" s="26" t="str">
        <f t="shared" ca="1" si="2"/>
        <v>On Track</v>
      </c>
      <c r="L7" s="25" t="s">
        <v>205</v>
      </c>
      <c r="M7" s="25" t="s">
        <v>309</v>
      </c>
    </row>
    <row r="8" spans="1:13" ht="92" x14ac:dyDescent="0.3">
      <c r="A8" s="21" t="str">
        <f t="shared" si="0"/>
        <v>I-005</v>
      </c>
      <c r="B8" s="25" t="s">
        <v>206</v>
      </c>
      <c r="C8" s="25" t="s">
        <v>207</v>
      </c>
      <c r="D8" s="25" t="s">
        <v>208</v>
      </c>
      <c r="E8" s="25" t="s">
        <v>9</v>
      </c>
      <c r="F8" s="25" t="s">
        <v>1</v>
      </c>
      <c r="G8" s="25" t="s">
        <v>17</v>
      </c>
      <c r="H8" s="28">
        <v>46127</v>
      </c>
      <c r="I8" s="28">
        <v>46141</v>
      </c>
      <c r="J8" s="27">
        <f t="shared" si="1"/>
        <v>14</v>
      </c>
      <c r="K8" s="26" t="str">
        <f t="shared" ca="1" si="2"/>
        <v>On Track</v>
      </c>
      <c r="L8" s="25" t="s">
        <v>209</v>
      </c>
      <c r="M8" s="25" t="s">
        <v>310</v>
      </c>
    </row>
    <row r="9" spans="1:13" ht="69" x14ac:dyDescent="0.3">
      <c r="A9" s="21" t="str">
        <f t="shared" si="0"/>
        <v>I-006</v>
      </c>
      <c r="B9" s="25" t="s">
        <v>210</v>
      </c>
      <c r="C9" s="25" t="s">
        <v>211</v>
      </c>
      <c r="D9" s="25" t="s">
        <v>212</v>
      </c>
      <c r="E9" s="25" t="s">
        <v>9</v>
      </c>
      <c r="F9" s="25" t="s">
        <v>1</v>
      </c>
      <c r="G9" s="25" t="s">
        <v>17</v>
      </c>
      <c r="H9" s="28">
        <v>46127</v>
      </c>
      <c r="I9" s="28">
        <v>46132</v>
      </c>
      <c r="J9" s="27">
        <f t="shared" si="1"/>
        <v>5</v>
      </c>
      <c r="K9" s="26" t="str">
        <f t="shared" ca="1" si="2"/>
        <v>On Track</v>
      </c>
      <c r="L9" s="25" t="s">
        <v>302</v>
      </c>
      <c r="M9" s="25" t="s">
        <v>310</v>
      </c>
    </row>
    <row r="10" spans="1:13" ht="69" x14ac:dyDescent="0.3">
      <c r="A10" s="21" t="str">
        <f t="shared" si="0"/>
        <v>I-007</v>
      </c>
      <c r="B10" s="25" t="s">
        <v>213</v>
      </c>
      <c r="C10" s="25" t="s">
        <v>307</v>
      </c>
      <c r="D10" s="25" t="s">
        <v>214</v>
      </c>
      <c r="E10" s="25" t="s">
        <v>4</v>
      </c>
      <c r="F10" s="25" t="s">
        <v>1</v>
      </c>
      <c r="G10" s="25" t="s">
        <v>17</v>
      </c>
      <c r="H10" s="28">
        <v>46127</v>
      </c>
      <c r="I10" s="28">
        <v>46132</v>
      </c>
      <c r="J10" s="27">
        <f t="shared" si="1"/>
        <v>5</v>
      </c>
      <c r="K10" s="26" t="str">
        <f t="shared" ca="1" si="2"/>
        <v>On Track</v>
      </c>
      <c r="L10" s="25" t="s">
        <v>303</v>
      </c>
      <c r="M10" s="25" t="s">
        <v>310</v>
      </c>
    </row>
    <row r="11" spans="1:13" ht="69" x14ac:dyDescent="0.3">
      <c r="A11" s="21" t="str">
        <f t="shared" si="0"/>
        <v>I-008</v>
      </c>
      <c r="B11" s="25" t="s">
        <v>215</v>
      </c>
      <c r="C11" s="25" t="s">
        <v>216</v>
      </c>
      <c r="D11" s="25" t="s">
        <v>217</v>
      </c>
      <c r="E11" s="25" t="s">
        <v>4</v>
      </c>
      <c r="F11" s="25" t="s">
        <v>1</v>
      </c>
      <c r="G11" s="25" t="s">
        <v>17</v>
      </c>
      <c r="H11" s="28">
        <v>46127</v>
      </c>
      <c r="I11" s="28">
        <v>46132</v>
      </c>
      <c r="J11" s="27">
        <f t="shared" si="1"/>
        <v>5</v>
      </c>
      <c r="K11" s="26" t="str">
        <f t="shared" ca="1" si="2"/>
        <v>On Track</v>
      </c>
      <c r="L11" s="25" t="s">
        <v>304</v>
      </c>
      <c r="M11" s="25" t="s">
        <v>310</v>
      </c>
    </row>
    <row r="12" spans="1:13" ht="69" x14ac:dyDescent="0.3">
      <c r="A12" s="21" t="str">
        <f t="shared" si="0"/>
        <v>I-009</v>
      </c>
      <c r="B12" s="25" t="s">
        <v>218</v>
      </c>
      <c r="C12" s="25" t="s">
        <v>219</v>
      </c>
      <c r="D12" s="25" t="s">
        <v>220</v>
      </c>
      <c r="E12" s="25" t="s">
        <v>14</v>
      </c>
      <c r="F12" s="25" t="s">
        <v>294</v>
      </c>
      <c r="G12" s="25" t="s">
        <v>17</v>
      </c>
      <c r="H12" s="28">
        <v>46127</v>
      </c>
      <c r="I12" s="28">
        <v>46137</v>
      </c>
      <c r="J12" s="27">
        <f t="shared" si="1"/>
        <v>10</v>
      </c>
      <c r="K12" s="26" t="str">
        <f t="shared" ca="1" si="2"/>
        <v>On Track</v>
      </c>
      <c r="L12" s="25" t="s">
        <v>305</v>
      </c>
      <c r="M12" s="25" t="s">
        <v>310</v>
      </c>
    </row>
    <row r="13" spans="1:13" ht="69" x14ac:dyDescent="0.3">
      <c r="A13" s="21" t="str">
        <f t="shared" si="0"/>
        <v>I-010</v>
      </c>
      <c r="B13" s="25" t="s">
        <v>221</v>
      </c>
      <c r="C13" s="25" t="s">
        <v>222</v>
      </c>
      <c r="D13" s="25" t="s">
        <v>223</v>
      </c>
      <c r="E13" s="25" t="s">
        <v>19</v>
      </c>
      <c r="F13" s="25" t="s">
        <v>1</v>
      </c>
      <c r="G13" s="25" t="s">
        <v>17</v>
      </c>
      <c r="H13" s="28">
        <v>46127</v>
      </c>
      <c r="I13" s="28">
        <v>46130</v>
      </c>
      <c r="J13" s="27">
        <f t="shared" si="1"/>
        <v>3</v>
      </c>
      <c r="K13" s="26" t="str">
        <f t="shared" ca="1" si="2"/>
        <v>On Track</v>
      </c>
      <c r="L13" s="25" t="s">
        <v>306</v>
      </c>
      <c r="M13" s="25" t="s">
        <v>310</v>
      </c>
    </row>
    <row r="14" spans="1:13" ht="23" x14ac:dyDescent="0.3">
      <c r="A14" s="21" t="str">
        <f t="shared" si="0"/>
        <v/>
      </c>
      <c r="B14" s="20"/>
      <c r="C14" s="20"/>
      <c r="D14" s="20"/>
      <c r="E14" s="20"/>
      <c r="F14" s="20"/>
      <c r="G14" s="20"/>
      <c r="H14" s="24"/>
      <c r="I14" s="24"/>
      <c r="J14" s="23" t="str">
        <f t="shared" si="1"/>
        <v/>
      </c>
      <c r="K14" s="22" t="str">
        <f t="shared" ca="1" si="2"/>
        <v/>
      </c>
      <c r="L14" s="20"/>
      <c r="M14" s="20"/>
    </row>
    <row r="15" spans="1:13" ht="23" x14ac:dyDescent="0.3">
      <c r="A15" s="21" t="str">
        <f t="shared" si="0"/>
        <v/>
      </c>
      <c r="B15" s="20"/>
      <c r="C15" s="20"/>
      <c r="D15" s="20"/>
      <c r="E15" s="20"/>
      <c r="F15" s="20"/>
      <c r="G15" s="20"/>
      <c r="H15" s="24"/>
      <c r="I15" s="24"/>
      <c r="J15" s="23" t="str">
        <f t="shared" si="1"/>
        <v/>
      </c>
      <c r="K15" s="22" t="str">
        <f t="shared" ca="1" si="2"/>
        <v/>
      </c>
      <c r="L15" s="20"/>
      <c r="M15" s="20"/>
    </row>
    <row r="16" spans="1:13" ht="23" x14ac:dyDescent="0.3">
      <c r="A16" s="21" t="str">
        <f t="shared" si="0"/>
        <v/>
      </c>
      <c r="B16" s="20"/>
      <c r="C16" s="20"/>
      <c r="D16" s="20"/>
      <c r="E16" s="20"/>
      <c r="F16" s="20"/>
      <c r="G16" s="20"/>
      <c r="H16" s="24"/>
      <c r="I16" s="24"/>
      <c r="J16" s="23" t="str">
        <f t="shared" si="1"/>
        <v/>
      </c>
      <c r="K16" s="22" t="str">
        <f t="shared" ca="1" si="2"/>
        <v/>
      </c>
      <c r="L16" s="20"/>
      <c r="M16" s="20"/>
    </row>
    <row r="17" spans="1:13" ht="23" x14ac:dyDescent="0.3">
      <c r="A17" s="21" t="str">
        <f t="shared" si="0"/>
        <v/>
      </c>
      <c r="B17" s="20"/>
      <c r="C17" s="20"/>
      <c r="D17" s="20"/>
      <c r="E17" s="20"/>
      <c r="F17" s="20"/>
      <c r="G17" s="20"/>
      <c r="H17" s="24"/>
      <c r="I17" s="24"/>
      <c r="J17" s="23" t="str">
        <f t="shared" si="1"/>
        <v/>
      </c>
      <c r="K17" s="22" t="str">
        <f t="shared" ca="1" si="2"/>
        <v/>
      </c>
      <c r="L17" s="20"/>
      <c r="M17" s="20"/>
    </row>
    <row r="18" spans="1:13" ht="23" x14ac:dyDescent="0.3">
      <c r="A18" s="21" t="str">
        <f t="shared" si="0"/>
        <v/>
      </c>
      <c r="B18" s="20"/>
      <c r="C18" s="20"/>
      <c r="D18" s="20"/>
      <c r="E18" s="20"/>
      <c r="F18" s="20"/>
      <c r="G18" s="20"/>
      <c r="H18" s="24"/>
      <c r="I18" s="24"/>
      <c r="J18" s="23" t="str">
        <f t="shared" si="1"/>
        <v/>
      </c>
      <c r="K18" s="22" t="str">
        <f t="shared" ca="1" si="2"/>
        <v/>
      </c>
      <c r="L18" s="20"/>
      <c r="M18" s="20"/>
    </row>
    <row r="19" spans="1:13" ht="23" x14ac:dyDescent="0.3">
      <c r="A19" s="21" t="str">
        <f t="shared" si="0"/>
        <v/>
      </c>
      <c r="B19" s="20"/>
      <c r="C19" s="20"/>
      <c r="D19" s="20"/>
      <c r="E19" s="20"/>
      <c r="F19" s="20"/>
      <c r="G19" s="20"/>
      <c r="H19" s="24"/>
      <c r="I19" s="24"/>
      <c r="J19" s="23" t="str">
        <f t="shared" si="1"/>
        <v/>
      </c>
      <c r="K19" s="22" t="str">
        <f t="shared" ca="1" si="2"/>
        <v/>
      </c>
      <c r="L19" s="20"/>
      <c r="M19" s="20"/>
    </row>
    <row r="20" spans="1:13" ht="23" x14ac:dyDescent="0.3">
      <c r="A20" s="21" t="str">
        <f t="shared" si="0"/>
        <v/>
      </c>
      <c r="B20" s="20"/>
      <c r="C20" s="20"/>
      <c r="D20" s="20"/>
      <c r="E20" s="20"/>
      <c r="F20" s="20"/>
      <c r="G20" s="20"/>
      <c r="H20" s="24"/>
      <c r="I20" s="24"/>
      <c r="J20" s="23" t="str">
        <f t="shared" si="1"/>
        <v/>
      </c>
      <c r="K20" s="22" t="str">
        <f t="shared" ca="1" si="2"/>
        <v/>
      </c>
      <c r="L20" s="20"/>
      <c r="M20" s="20"/>
    </row>
    <row r="21" spans="1:13" ht="23" x14ac:dyDescent="0.3">
      <c r="A21" s="21" t="str">
        <f t="shared" si="0"/>
        <v/>
      </c>
      <c r="B21" s="20"/>
      <c r="C21" s="20"/>
      <c r="D21" s="20"/>
      <c r="E21" s="20"/>
      <c r="F21" s="20"/>
      <c r="G21" s="20"/>
      <c r="H21" s="24"/>
      <c r="I21" s="24"/>
      <c r="J21" s="23" t="str">
        <f t="shared" si="1"/>
        <v/>
      </c>
      <c r="K21" s="22" t="str">
        <f t="shared" ca="1" si="2"/>
        <v/>
      </c>
      <c r="L21" s="20"/>
      <c r="M21" s="20"/>
    </row>
    <row r="22" spans="1:13" ht="23" x14ac:dyDescent="0.3">
      <c r="A22" s="21" t="str">
        <f t="shared" si="0"/>
        <v/>
      </c>
      <c r="B22" s="20"/>
      <c r="C22" s="20"/>
      <c r="D22" s="20"/>
      <c r="E22" s="20"/>
      <c r="F22" s="20"/>
      <c r="G22" s="20"/>
      <c r="H22" s="24"/>
      <c r="I22" s="24"/>
      <c r="J22" s="23" t="str">
        <f t="shared" si="1"/>
        <v/>
      </c>
      <c r="K22" s="22" t="str">
        <f t="shared" ca="1" si="2"/>
        <v/>
      </c>
      <c r="L22" s="20"/>
      <c r="M22" s="20"/>
    </row>
    <row r="23" spans="1:13" ht="23" x14ac:dyDescent="0.3">
      <c r="A23" s="21" t="str">
        <f t="shared" si="0"/>
        <v/>
      </c>
      <c r="B23" s="20"/>
      <c r="C23" s="20"/>
      <c r="D23" s="20"/>
      <c r="E23" s="20"/>
      <c r="F23" s="20"/>
      <c r="G23" s="20"/>
      <c r="H23" s="24"/>
      <c r="I23" s="24"/>
      <c r="J23" s="23" t="str">
        <f t="shared" si="1"/>
        <v/>
      </c>
      <c r="K23" s="22" t="str">
        <f t="shared" ca="1" si="2"/>
        <v/>
      </c>
      <c r="L23" s="20"/>
      <c r="M23" s="20"/>
    </row>
    <row r="24" spans="1:13" x14ac:dyDescent="0.2">
      <c r="A24" s="12" t="str">
        <f t="shared" si="0"/>
        <v/>
      </c>
      <c r="B24" s="5"/>
      <c r="C24" s="5"/>
      <c r="D24" s="5"/>
      <c r="E24" s="5"/>
      <c r="F24" s="5"/>
      <c r="G24" s="5"/>
      <c r="H24" s="8"/>
      <c r="I24" s="8"/>
      <c r="J24" s="7" t="str">
        <f t="shared" si="1"/>
        <v/>
      </c>
      <c r="K24" s="6" t="str">
        <f t="shared" ca="1" si="2"/>
        <v/>
      </c>
      <c r="L24" s="5"/>
      <c r="M24" s="5"/>
    </row>
    <row r="25" spans="1:13" x14ac:dyDescent="0.2">
      <c r="A25" s="12" t="str">
        <f t="shared" si="0"/>
        <v/>
      </c>
      <c r="B25" s="5"/>
      <c r="C25" s="5"/>
      <c r="D25" s="5"/>
      <c r="E25" s="5"/>
      <c r="F25" s="5"/>
      <c r="G25" s="5"/>
      <c r="H25" s="8"/>
      <c r="I25" s="8"/>
      <c r="J25" s="7" t="str">
        <f t="shared" si="1"/>
        <v/>
      </c>
      <c r="K25" s="6" t="str">
        <f t="shared" ca="1" si="2"/>
        <v/>
      </c>
      <c r="L25" s="5"/>
      <c r="M25" s="5"/>
    </row>
    <row r="26" spans="1:13" x14ac:dyDescent="0.2">
      <c r="A26" s="12" t="str">
        <f t="shared" si="0"/>
        <v/>
      </c>
      <c r="B26" s="5"/>
      <c r="C26" s="5"/>
      <c r="D26" s="5"/>
      <c r="E26" s="5"/>
      <c r="F26" s="5"/>
      <c r="G26" s="5"/>
      <c r="H26" s="8"/>
      <c r="I26" s="8"/>
      <c r="J26" s="7" t="str">
        <f t="shared" si="1"/>
        <v/>
      </c>
      <c r="K26" s="6" t="str">
        <f t="shared" ca="1" si="2"/>
        <v/>
      </c>
      <c r="L26" s="5"/>
      <c r="M26" s="5"/>
    </row>
    <row r="27" spans="1:13" x14ac:dyDescent="0.2">
      <c r="A27" s="12" t="str">
        <f t="shared" si="0"/>
        <v/>
      </c>
      <c r="B27" s="5"/>
      <c r="C27" s="5"/>
      <c r="D27" s="5"/>
      <c r="E27" s="5"/>
      <c r="F27" s="5"/>
      <c r="G27" s="5"/>
      <c r="H27" s="8"/>
      <c r="I27" s="8"/>
      <c r="J27" s="7" t="str">
        <f t="shared" si="1"/>
        <v/>
      </c>
      <c r="K27" s="6" t="str">
        <f t="shared" ca="1" si="2"/>
        <v/>
      </c>
      <c r="L27" s="5"/>
      <c r="M27" s="5"/>
    </row>
    <row r="28" spans="1:13" x14ac:dyDescent="0.2">
      <c r="A28" s="12" t="str">
        <f t="shared" si="0"/>
        <v/>
      </c>
      <c r="B28" s="5"/>
      <c r="C28" s="5"/>
      <c r="D28" s="5"/>
      <c r="E28" s="5"/>
      <c r="F28" s="5"/>
      <c r="G28" s="5"/>
      <c r="H28" s="8"/>
      <c r="I28" s="8"/>
      <c r="J28" s="7" t="str">
        <f t="shared" si="1"/>
        <v/>
      </c>
      <c r="K28" s="6" t="str">
        <f t="shared" ca="1" si="2"/>
        <v/>
      </c>
      <c r="L28" s="5"/>
      <c r="M28" s="5"/>
    </row>
    <row r="29" spans="1:13" x14ac:dyDescent="0.2">
      <c r="A29" s="12" t="str">
        <f t="shared" si="0"/>
        <v/>
      </c>
      <c r="B29" s="5"/>
      <c r="C29" s="5"/>
      <c r="D29" s="5"/>
      <c r="E29" s="5"/>
      <c r="F29" s="5"/>
      <c r="G29" s="5"/>
      <c r="H29" s="8"/>
      <c r="I29" s="8"/>
      <c r="J29" s="7" t="str">
        <f t="shared" si="1"/>
        <v/>
      </c>
      <c r="K29" s="6" t="str">
        <f t="shared" ca="1" si="2"/>
        <v/>
      </c>
      <c r="L29" s="5"/>
      <c r="M29" s="5"/>
    </row>
    <row r="30" spans="1:13" x14ac:dyDescent="0.2">
      <c r="A30" s="12" t="str">
        <f t="shared" si="0"/>
        <v/>
      </c>
      <c r="B30" s="5"/>
      <c r="C30" s="5"/>
      <c r="D30" s="5"/>
      <c r="E30" s="5"/>
      <c r="F30" s="5"/>
      <c r="G30" s="5"/>
      <c r="H30" s="8"/>
      <c r="I30" s="8"/>
      <c r="J30" s="7" t="str">
        <f t="shared" si="1"/>
        <v/>
      </c>
      <c r="K30" s="6" t="str">
        <f t="shared" ca="1" si="2"/>
        <v/>
      </c>
      <c r="L30" s="5"/>
      <c r="M30" s="5"/>
    </row>
    <row r="31" spans="1:13" x14ac:dyDescent="0.2">
      <c r="A31" s="12" t="str">
        <f t="shared" si="0"/>
        <v/>
      </c>
      <c r="B31" s="5"/>
      <c r="C31" s="5"/>
      <c r="D31" s="5"/>
      <c r="E31" s="5"/>
      <c r="F31" s="5"/>
      <c r="G31" s="5"/>
      <c r="H31" s="8"/>
      <c r="I31" s="8"/>
      <c r="J31" s="7" t="str">
        <f t="shared" si="1"/>
        <v/>
      </c>
      <c r="K31" s="6" t="str">
        <f t="shared" ca="1" si="2"/>
        <v/>
      </c>
      <c r="L31" s="5"/>
      <c r="M31" s="5"/>
    </row>
    <row r="32" spans="1:13" x14ac:dyDescent="0.2">
      <c r="A32" s="12" t="str">
        <f t="shared" si="0"/>
        <v/>
      </c>
      <c r="B32" s="5"/>
      <c r="C32" s="5"/>
      <c r="D32" s="5"/>
      <c r="E32" s="5"/>
      <c r="F32" s="5"/>
      <c r="G32" s="5"/>
      <c r="H32" s="8"/>
      <c r="I32" s="8"/>
      <c r="J32" s="7" t="str">
        <f t="shared" si="1"/>
        <v/>
      </c>
      <c r="K32" s="6" t="str">
        <f t="shared" ca="1" si="2"/>
        <v/>
      </c>
      <c r="L32" s="5"/>
      <c r="M32" s="5"/>
    </row>
    <row r="33" spans="1:13" x14ac:dyDescent="0.2">
      <c r="A33" s="12" t="str">
        <f t="shared" si="0"/>
        <v/>
      </c>
      <c r="B33" s="5"/>
      <c r="C33" s="5"/>
      <c r="D33" s="5"/>
      <c r="E33" s="5"/>
      <c r="F33" s="5"/>
      <c r="G33" s="5"/>
      <c r="H33" s="8"/>
      <c r="I33" s="8"/>
      <c r="J33" s="7" t="str">
        <f t="shared" si="1"/>
        <v/>
      </c>
      <c r="K33" s="6" t="str">
        <f t="shared" ca="1" si="2"/>
        <v/>
      </c>
      <c r="L33" s="5"/>
      <c r="M33" s="5"/>
    </row>
    <row r="34" spans="1:13" x14ac:dyDescent="0.2">
      <c r="A34" s="12" t="str">
        <f t="shared" si="0"/>
        <v/>
      </c>
      <c r="B34" s="5"/>
      <c r="C34" s="5"/>
      <c r="D34" s="5"/>
      <c r="E34" s="5"/>
      <c r="F34" s="5"/>
      <c r="G34" s="5"/>
      <c r="H34" s="8"/>
      <c r="I34" s="8"/>
      <c r="J34" s="7" t="str">
        <f t="shared" si="1"/>
        <v/>
      </c>
      <c r="K34" s="6" t="str">
        <f t="shared" ca="1" si="2"/>
        <v/>
      </c>
      <c r="L34" s="5"/>
      <c r="M34" s="5"/>
    </row>
    <row r="35" spans="1:13" x14ac:dyDescent="0.2">
      <c r="A35" s="12" t="str">
        <f t="shared" si="0"/>
        <v/>
      </c>
      <c r="B35" s="5"/>
      <c r="C35" s="5"/>
      <c r="D35" s="5"/>
      <c r="E35" s="5"/>
      <c r="F35" s="5"/>
      <c r="G35" s="5"/>
      <c r="H35" s="8"/>
      <c r="I35" s="8"/>
      <c r="J35" s="7" t="str">
        <f t="shared" si="1"/>
        <v/>
      </c>
      <c r="K35" s="6" t="str">
        <f t="shared" ca="1" si="2"/>
        <v/>
      </c>
      <c r="L35" s="5"/>
      <c r="M35" s="5"/>
    </row>
    <row r="36" spans="1:13" x14ac:dyDescent="0.2">
      <c r="A36" s="12" t="str">
        <f t="shared" ref="A36:A67" si="3">IF(C36="","","I-"&amp;TEXT(ROW()-3,"000"))</f>
        <v/>
      </c>
      <c r="B36" s="5"/>
      <c r="C36" s="5"/>
      <c r="D36" s="5"/>
      <c r="E36" s="5"/>
      <c r="F36" s="5"/>
      <c r="G36" s="5"/>
      <c r="H36" s="8"/>
      <c r="I36" s="8"/>
      <c r="J36" s="7" t="str">
        <f t="shared" ref="J36:J67" si="4">IF(OR(H36="",I36=""),"",I36-H36)</f>
        <v/>
      </c>
      <c r="K36" s="6" t="str">
        <f t="shared" ref="K36:K67" ca="1" si="5">IF(OR(G36="",I36=""),"",IF(AND(G36&lt;&gt;"Closed",TODAY()&gt;I36),"Overdue","On Track"))</f>
        <v/>
      </c>
      <c r="L36" s="5"/>
      <c r="M36" s="5"/>
    </row>
    <row r="37" spans="1:13" x14ac:dyDescent="0.2">
      <c r="A37" s="12" t="str">
        <f t="shared" si="3"/>
        <v/>
      </c>
      <c r="B37" s="5"/>
      <c r="C37" s="5"/>
      <c r="D37" s="5"/>
      <c r="E37" s="5"/>
      <c r="F37" s="5"/>
      <c r="G37" s="5"/>
      <c r="H37" s="8"/>
      <c r="I37" s="8"/>
      <c r="J37" s="7" t="str">
        <f t="shared" si="4"/>
        <v/>
      </c>
      <c r="K37" s="6" t="str">
        <f t="shared" ca="1" si="5"/>
        <v/>
      </c>
      <c r="L37" s="5"/>
      <c r="M37" s="5"/>
    </row>
    <row r="38" spans="1:13" x14ac:dyDescent="0.2">
      <c r="A38" s="12" t="str">
        <f t="shared" si="3"/>
        <v/>
      </c>
      <c r="B38" s="5"/>
      <c r="C38" s="5"/>
      <c r="D38" s="5"/>
      <c r="E38" s="5"/>
      <c r="F38" s="5"/>
      <c r="G38" s="5"/>
      <c r="H38" s="8"/>
      <c r="I38" s="8"/>
      <c r="J38" s="7" t="str">
        <f t="shared" si="4"/>
        <v/>
      </c>
      <c r="K38" s="6" t="str">
        <f t="shared" ca="1" si="5"/>
        <v/>
      </c>
      <c r="L38" s="5"/>
      <c r="M38" s="5"/>
    </row>
    <row r="39" spans="1:13" x14ac:dyDescent="0.2">
      <c r="A39" s="12" t="str">
        <f t="shared" si="3"/>
        <v/>
      </c>
      <c r="B39" s="5"/>
      <c r="C39" s="5"/>
      <c r="D39" s="5"/>
      <c r="E39" s="5"/>
      <c r="F39" s="5"/>
      <c r="G39" s="5"/>
      <c r="H39" s="8"/>
      <c r="I39" s="8"/>
      <c r="J39" s="7" t="str">
        <f t="shared" si="4"/>
        <v/>
      </c>
      <c r="K39" s="6" t="str">
        <f t="shared" ca="1" si="5"/>
        <v/>
      </c>
      <c r="L39" s="5"/>
      <c r="M39" s="5"/>
    </row>
    <row r="40" spans="1:13" x14ac:dyDescent="0.2">
      <c r="A40" s="12" t="str">
        <f t="shared" si="3"/>
        <v/>
      </c>
      <c r="B40" s="5"/>
      <c r="C40" s="5"/>
      <c r="D40" s="5"/>
      <c r="E40" s="5"/>
      <c r="F40" s="5"/>
      <c r="G40" s="5"/>
      <c r="H40" s="8"/>
      <c r="I40" s="8"/>
      <c r="J40" s="7" t="str">
        <f t="shared" si="4"/>
        <v/>
      </c>
      <c r="K40" s="6" t="str">
        <f t="shared" ca="1" si="5"/>
        <v/>
      </c>
      <c r="L40" s="5"/>
      <c r="M40" s="5"/>
    </row>
    <row r="41" spans="1:13" x14ac:dyDescent="0.2">
      <c r="A41" s="12" t="str">
        <f t="shared" si="3"/>
        <v/>
      </c>
      <c r="B41" s="5"/>
      <c r="C41" s="5"/>
      <c r="D41" s="5"/>
      <c r="E41" s="5"/>
      <c r="F41" s="5"/>
      <c r="G41" s="5"/>
      <c r="H41" s="8"/>
      <c r="I41" s="8"/>
      <c r="J41" s="7" t="str">
        <f t="shared" si="4"/>
        <v/>
      </c>
      <c r="K41" s="6" t="str">
        <f t="shared" ca="1" si="5"/>
        <v/>
      </c>
      <c r="L41" s="5"/>
      <c r="M41" s="5"/>
    </row>
    <row r="42" spans="1:13" x14ac:dyDescent="0.2">
      <c r="A42" s="12" t="str">
        <f t="shared" si="3"/>
        <v/>
      </c>
      <c r="B42" s="5"/>
      <c r="C42" s="5"/>
      <c r="D42" s="5"/>
      <c r="E42" s="5"/>
      <c r="F42" s="5"/>
      <c r="G42" s="5"/>
      <c r="H42" s="8"/>
      <c r="I42" s="8"/>
      <c r="J42" s="7" t="str">
        <f t="shared" si="4"/>
        <v/>
      </c>
      <c r="K42" s="6" t="str">
        <f t="shared" ca="1" si="5"/>
        <v/>
      </c>
      <c r="L42" s="5"/>
      <c r="M42" s="5"/>
    </row>
    <row r="43" spans="1:13" x14ac:dyDescent="0.2">
      <c r="A43" s="12" t="str">
        <f t="shared" si="3"/>
        <v/>
      </c>
      <c r="B43" s="5"/>
      <c r="C43" s="5"/>
      <c r="D43" s="5"/>
      <c r="E43" s="5"/>
      <c r="F43" s="5"/>
      <c r="G43" s="5"/>
      <c r="H43" s="8"/>
      <c r="I43" s="8"/>
      <c r="J43" s="7" t="str">
        <f t="shared" si="4"/>
        <v/>
      </c>
      <c r="K43" s="6" t="str">
        <f t="shared" ca="1" si="5"/>
        <v/>
      </c>
      <c r="L43" s="5"/>
      <c r="M43" s="5"/>
    </row>
    <row r="44" spans="1:13" x14ac:dyDescent="0.2">
      <c r="A44" s="12" t="str">
        <f t="shared" si="3"/>
        <v/>
      </c>
      <c r="B44" s="5"/>
      <c r="C44" s="5"/>
      <c r="D44" s="5"/>
      <c r="E44" s="5"/>
      <c r="F44" s="5"/>
      <c r="G44" s="5"/>
      <c r="H44" s="8"/>
      <c r="I44" s="8"/>
      <c r="J44" s="7" t="str">
        <f t="shared" si="4"/>
        <v/>
      </c>
      <c r="K44" s="6" t="str">
        <f t="shared" ca="1" si="5"/>
        <v/>
      </c>
      <c r="L44" s="5"/>
      <c r="M44" s="5"/>
    </row>
    <row r="45" spans="1:13" x14ac:dyDescent="0.2">
      <c r="A45" s="12" t="str">
        <f t="shared" si="3"/>
        <v/>
      </c>
      <c r="B45" s="5"/>
      <c r="C45" s="5"/>
      <c r="D45" s="5"/>
      <c r="E45" s="5"/>
      <c r="F45" s="5"/>
      <c r="G45" s="5"/>
      <c r="H45" s="8"/>
      <c r="I45" s="8"/>
      <c r="J45" s="7" t="str">
        <f t="shared" si="4"/>
        <v/>
      </c>
      <c r="K45" s="6" t="str">
        <f t="shared" ca="1" si="5"/>
        <v/>
      </c>
      <c r="L45" s="5"/>
      <c r="M45" s="5"/>
    </row>
    <row r="46" spans="1:13" x14ac:dyDescent="0.2">
      <c r="A46" s="12" t="str">
        <f t="shared" si="3"/>
        <v/>
      </c>
      <c r="B46" s="5"/>
      <c r="C46" s="5"/>
      <c r="D46" s="5"/>
      <c r="E46" s="5"/>
      <c r="F46" s="5"/>
      <c r="G46" s="5"/>
      <c r="H46" s="8"/>
      <c r="I46" s="8"/>
      <c r="J46" s="7" t="str">
        <f t="shared" si="4"/>
        <v/>
      </c>
      <c r="K46" s="6" t="str">
        <f t="shared" ca="1" si="5"/>
        <v/>
      </c>
      <c r="L46" s="5"/>
      <c r="M46" s="5"/>
    </row>
    <row r="47" spans="1:13" x14ac:dyDescent="0.2">
      <c r="A47" s="12" t="str">
        <f t="shared" si="3"/>
        <v/>
      </c>
      <c r="B47" s="5"/>
      <c r="C47" s="5"/>
      <c r="D47" s="5"/>
      <c r="E47" s="5"/>
      <c r="F47" s="5"/>
      <c r="G47" s="5"/>
      <c r="H47" s="8"/>
      <c r="I47" s="8"/>
      <c r="J47" s="7" t="str">
        <f t="shared" si="4"/>
        <v/>
      </c>
      <c r="K47" s="6" t="str">
        <f t="shared" ca="1" si="5"/>
        <v/>
      </c>
      <c r="L47" s="5"/>
      <c r="M47" s="5"/>
    </row>
    <row r="48" spans="1:13" x14ac:dyDescent="0.2">
      <c r="A48" s="12" t="str">
        <f t="shared" si="3"/>
        <v/>
      </c>
      <c r="B48" s="5"/>
      <c r="C48" s="5"/>
      <c r="D48" s="5"/>
      <c r="E48" s="5"/>
      <c r="F48" s="5"/>
      <c r="G48" s="5"/>
      <c r="H48" s="8"/>
      <c r="I48" s="8"/>
      <c r="J48" s="7" t="str">
        <f t="shared" si="4"/>
        <v/>
      </c>
      <c r="K48" s="6" t="str">
        <f t="shared" ca="1" si="5"/>
        <v/>
      </c>
      <c r="L48" s="5"/>
      <c r="M48" s="5"/>
    </row>
    <row r="49" spans="1:13" x14ac:dyDescent="0.2">
      <c r="A49" s="12" t="str">
        <f t="shared" si="3"/>
        <v/>
      </c>
      <c r="B49" s="5"/>
      <c r="C49" s="5"/>
      <c r="D49" s="5"/>
      <c r="E49" s="5"/>
      <c r="F49" s="5"/>
      <c r="G49" s="5"/>
      <c r="H49" s="8"/>
      <c r="I49" s="8"/>
      <c r="J49" s="7" t="str">
        <f t="shared" si="4"/>
        <v/>
      </c>
      <c r="K49" s="6" t="str">
        <f t="shared" ca="1" si="5"/>
        <v/>
      </c>
      <c r="L49" s="5"/>
      <c r="M49" s="5"/>
    </row>
    <row r="50" spans="1:13" x14ac:dyDescent="0.2">
      <c r="A50" s="12" t="str">
        <f t="shared" si="3"/>
        <v/>
      </c>
      <c r="B50" s="5"/>
      <c r="C50" s="5"/>
      <c r="D50" s="5"/>
      <c r="E50" s="5"/>
      <c r="F50" s="5"/>
      <c r="G50" s="5"/>
      <c r="H50" s="8"/>
      <c r="I50" s="8"/>
      <c r="J50" s="7" t="str">
        <f t="shared" si="4"/>
        <v/>
      </c>
      <c r="K50" s="6" t="str">
        <f t="shared" ca="1" si="5"/>
        <v/>
      </c>
      <c r="L50" s="5"/>
      <c r="M50" s="5"/>
    </row>
    <row r="51" spans="1:13" x14ac:dyDescent="0.2">
      <c r="A51" s="12" t="str">
        <f t="shared" si="3"/>
        <v/>
      </c>
      <c r="B51" s="5"/>
      <c r="C51" s="5"/>
      <c r="D51" s="5"/>
      <c r="E51" s="5"/>
      <c r="F51" s="5"/>
      <c r="G51" s="5"/>
      <c r="H51" s="8"/>
      <c r="I51" s="8"/>
      <c r="J51" s="7" t="str">
        <f t="shared" si="4"/>
        <v/>
      </c>
      <c r="K51" s="6" t="str">
        <f t="shared" ca="1" si="5"/>
        <v/>
      </c>
      <c r="L51" s="5"/>
      <c r="M51" s="5"/>
    </row>
    <row r="52" spans="1:13" x14ac:dyDescent="0.2">
      <c r="A52" s="12" t="str">
        <f t="shared" si="3"/>
        <v/>
      </c>
      <c r="B52" s="5"/>
      <c r="C52" s="5"/>
      <c r="D52" s="5"/>
      <c r="E52" s="5"/>
      <c r="F52" s="5"/>
      <c r="G52" s="5"/>
      <c r="H52" s="8"/>
      <c r="I52" s="8"/>
      <c r="J52" s="7" t="str">
        <f t="shared" si="4"/>
        <v/>
      </c>
      <c r="K52" s="6" t="str">
        <f t="shared" ca="1" si="5"/>
        <v/>
      </c>
      <c r="L52" s="5"/>
      <c r="M52" s="5"/>
    </row>
    <row r="53" spans="1:13" x14ac:dyDescent="0.2">
      <c r="A53" s="12" t="str">
        <f t="shared" si="3"/>
        <v/>
      </c>
      <c r="B53" s="5"/>
      <c r="C53" s="5"/>
      <c r="D53" s="5"/>
      <c r="E53" s="5"/>
      <c r="F53" s="5"/>
      <c r="G53" s="5"/>
      <c r="H53" s="8"/>
      <c r="I53" s="8"/>
      <c r="J53" s="7" t="str">
        <f t="shared" si="4"/>
        <v/>
      </c>
      <c r="K53" s="6" t="str">
        <f t="shared" ca="1" si="5"/>
        <v/>
      </c>
      <c r="L53" s="5"/>
      <c r="M53" s="5"/>
    </row>
    <row r="54" spans="1:13" x14ac:dyDescent="0.2">
      <c r="A54" s="12" t="str">
        <f t="shared" si="3"/>
        <v/>
      </c>
      <c r="B54" s="5"/>
      <c r="C54" s="5"/>
      <c r="D54" s="5"/>
      <c r="E54" s="5"/>
      <c r="F54" s="5"/>
      <c r="G54" s="5"/>
      <c r="H54" s="8"/>
      <c r="I54" s="8"/>
      <c r="J54" s="7" t="str">
        <f t="shared" si="4"/>
        <v/>
      </c>
      <c r="K54" s="6" t="str">
        <f t="shared" ca="1" si="5"/>
        <v/>
      </c>
      <c r="L54" s="5"/>
      <c r="M54" s="5"/>
    </row>
    <row r="55" spans="1:13" x14ac:dyDescent="0.2">
      <c r="A55" s="12" t="str">
        <f t="shared" si="3"/>
        <v/>
      </c>
      <c r="B55" s="5"/>
      <c r="C55" s="5"/>
      <c r="D55" s="5"/>
      <c r="E55" s="5"/>
      <c r="F55" s="5"/>
      <c r="G55" s="5"/>
      <c r="H55" s="8"/>
      <c r="I55" s="8"/>
      <c r="J55" s="7" t="str">
        <f t="shared" si="4"/>
        <v/>
      </c>
      <c r="K55" s="6" t="str">
        <f t="shared" ca="1" si="5"/>
        <v/>
      </c>
      <c r="L55" s="5"/>
      <c r="M55" s="5"/>
    </row>
    <row r="56" spans="1:13" x14ac:dyDescent="0.2">
      <c r="A56" s="12" t="str">
        <f t="shared" si="3"/>
        <v/>
      </c>
      <c r="B56" s="5"/>
      <c r="C56" s="5"/>
      <c r="D56" s="5"/>
      <c r="E56" s="5"/>
      <c r="F56" s="5"/>
      <c r="G56" s="5"/>
      <c r="H56" s="8"/>
      <c r="I56" s="8"/>
      <c r="J56" s="7" t="str">
        <f t="shared" si="4"/>
        <v/>
      </c>
      <c r="K56" s="6" t="str">
        <f t="shared" ca="1" si="5"/>
        <v/>
      </c>
      <c r="L56" s="5"/>
      <c r="M56" s="5"/>
    </row>
    <row r="57" spans="1:13" x14ac:dyDescent="0.2">
      <c r="A57" s="12" t="str">
        <f t="shared" si="3"/>
        <v/>
      </c>
      <c r="B57" s="5"/>
      <c r="C57" s="5"/>
      <c r="D57" s="5"/>
      <c r="E57" s="5"/>
      <c r="F57" s="5"/>
      <c r="G57" s="5"/>
      <c r="H57" s="8"/>
      <c r="I57" s="8"/>
      <c r="J57" s="7" t="str">
        <f t="shared" si="4"/>
        <v/>
      </c>
      <c r="K57" s="6" t="str">
        <f t="shared" ca="1" si="5"/>
        <v/>
      </c>
      <c r="L57" s="5"/>
      <c r="M57" s="5"/>
    </row>
    <row r="58" spans="1:13" x14ac:dyDescent="0.2">
      <c r="A58" s="12" t="str">
        <f t="shared" si="3"/>
        <v/>
      </c>
      <c r="B58" s="5"/>
      <c r="C58" s="5"/>
      <c r="D58" s="5"/>
      <c r="E58" s="5"/>
      <c r="F58" s="5"/>
      <c r="G58" s="5"/>
      <c r="H58" s="8"/>
      <c r="I58" s="8"/>
      <c r="J58" s="7" t="str">
        <f t="shared" si="4"/>
        <v/>
      </c>
      <c r="K58" s="6" t="str">
        <f t="shared" ca="1" si="5"/>
        <v/>
      </c>
      <c r="L58" s="5"/>
      <c r="M58" s="5"/>
    </row>
    <row r="59" spans="1:13" x14ac:dyDescent="0.2">
      <c r="A59" s="12" t="str">
        <f t="shared" si="3"/>
        <v/>
      </c>
      <c r="B59" s="5"/>
      <c r="C59" s="5"/>
      <c r="D59" s="5"/>
      <c r="E59" s="5"/>
      <c r="F59" s="5"/>
      <c r="G59" s="5"/>
      <c r="H59" s="8"/>
      <c r="I59" s="8"/>
      <c r="J59" s="7" t="str">
        <f t="shared" si="4"/>
        <v/>
      </c>
      <c r="K59" s="6" t="str">
        <f t="shared" ca="1" si="5"/>
        <v/>
      </c>
      <c r="L59" s="5"/>
      <c r="M59" s="5"/>
    </row>
    <row r="60" spans="1:13" x14ac:dyDescent="0.2">
      <c r="A60" s="12" t="str">
        <f t="shared" si="3"/>
        <v/>
      </c>
      <c r="B60" s="5"/>
      <c r="C60" s="5"/>
      <c r="D60" s="5"/>
      <c r="E60" s="5"/>
      <c r="F60" s="5"/>
      <c r="G60" s="5"/>
      <c r="H60" s="8"/>
      <c r="I60" s="8"/>
      <c r="J60" s="7" t="str">
        <f t="shared" si="4"/>
        <v/>
      </c>
      <c r="K60" s="6" t="str">
        <f t="shared" ca="1" si="5"/>
        <v/>
      </c>
      <c r="L60" s="5"/>
      <c r="M60" s="5"/>
    </row>
    <row r="61" spans="1:13" x14ac:dyDescent="0.2">
      <c r="A61" s="12" t="str">
        <f t="shared" si="3"/>
        <v/>
      </c>
      <c r="B61" s="5"/>
      <c r="C61" s="5"/>
      <c r="D61" s="5"/>
      <c r="E61" s="5"/>
      <c r="F61" s="5"/>
      <c r="G61" s="5"/>
      <c r="H61" s="8"/>
      <c r="I61" s="8"/>
      <c r="J61" s="7" t="str">
        <f t="shared" si="4"/>
        <v/>
      </c>
      <c r="K61" s="6" t="str">
        <f t="shared" ca="1" si="5"/>
        <v/>
      </c>
      <c r="L61" s="5"/>
      <c r="M61" s="5"/>
    </row>
    <row r="62" spans="1:13" x14ac:dyDescent="0.2">
      <c r="A62" s="12" t="str">
        <f t="shared" si="3"/>
        <v/>
      </c>
      <c r="B62" s="5"/>
      <c r="C62" s="5"/>
      <c r="D62" s="5"/>
      <c r="E62" s="5"/>
      <c r="F62" s="5"/>
      <c r="G62" s="5"/>
      <c r="H62" s="8"/>
      <c r="I62" s="8"/>
      <c r="J62" s="7" t="str">
        <f t="shared" si="4"/>
        <v/>
      </c>
      <c r="K62" s="6" t="str">
        <f t="shared" ca="1" si="5"/>
        <v/>
      </c>
      <c r="L62" s="5"/>
      <c r="M62" s="5"/>
    </row>
    <row r="63" spans="1:13" x14ac:dyDescent="0.2">
      <c r="A63" s="12" t="str">
        <f t="shared" si="3"/>
        <v/>
      </c>
      <c r="B63" s="5"/>
      <c r="C63" s="5"/>
      <c r="D63" s="5"/>
      <c r="E63" s="5"/>
      <c r="F63" s="5"/>
      <c r="G63" s="5"/>
      <c r="H63" s="8"/>
      <c r="I63" s="8"/>
      <c r="J63" s="7" t="str">
        <f t="shared" si="4"/>
        <v/>
      </c>
      <c r="K63" s="6" t="str">
        <f t="shared" ca="1" si="5"/>
        <v/>
      </c>
      <c r="L63" s="5"/>
      <c r="M63" s="5"/>
    </row>
    <row r="64" spans="1:13" x14ac:dyDescent="0.2">
      <c r="A64" s="12" t="str">
        <f t="shared" si="3"/>
        <v/>
      </c>
      <c r="B64" s="5"/>
      <c r="C64" s="5"/>
      <c r="D64" s="5"/>
      <c r="E64" s="5"/>
      <c r="F64" s="5"/>
      <c r="G64" s="5"/>
      <c r="H64" s="8"/>
      <c r="I64" s="8"/>
      <c r="J64" s="7" t="str">
        <f t="shared" si="4"/>
        <v/>
      </c>
      <c r="K64" s="6" t="str">
        <f t="shared" ca="1" si="5"/>
        <v/>
      </c>
      <c r="L64" s="5"/>
      <c r="M64" s="5"/>
    </row>
    <row r="65" spans="1:13" x14ac:dyDescent="0.2">
      <c r="A65" s="12" t="str">
        <f t="shared" si="3"/>
        <v/>
      </c>
      <c r="B65" s="5"/>
      <c r="C65" s="5"/>
      <c r="D65" s="5"/>
      <c r="E65" s="5"/>
      <c r="F65" s="5"/>
      <c r="G65" s="5"/>
      <c r="H65" s="8"/>
      <c r="I65" s="8"/>
      <c r="J65" s="7" t="str">
        <f t="shared" si="4"/>
        <v/>
      </c>
      <c r="K65" s="6" t="str">
        <f t="shared" ca="1" si="5"/>
        <v/>
      </c>
      <c r="L65" s="5"/>
      <c r="M65" s="5"/>
    </row>
    <row r="66" spans="1:13" x14ac:dyDescent="0.2">
      <c r="A66" s="12" t="str">
        <f t="shared" si="3"/>
        <v/>
      </c>
      <c r="B66" s="5"/>
      <c r="C66" s="5"/>
      <c r="D66" s="5"/>
      <c r="E66" s="5"/>
      <c r="F66" s="5"/>
      <c r="G66" s="5"/>
      <c r="H66" s="8"/>
      <c r="I66" s="8"/>
      <c r="J66" s="7" t="str">
        <f t="shared" si="4"/>
        <v/>
      </c>
      <c r="K66" s="6" t="str">
        <f t="shared" ca="1" si="5"/>
        <v/>
      </c>
      <c r="L66" s="5"/>
      <c r="M66" s="5"/>
    </row>
    <row r="67" spans="1:13" x14ac:dyDescent="0.2">
      <c r="A67" s="12" t="str">
        <f t="shared" si="3"/>
        <v/>
      </c>
      <c r="B67" s="5"/>
      <c r="C67" s="5"/>
      <c r="D67" s="5"/>
      <c r="E67" s="5"/>
      <c r="F67" s="5"/>
      <c r="G67" s="5"/>
      <c r="H67" s="8"/>
      <c r="I67" s="8"/>
      <c r="J67" s="7" t="str">
        <f t="shared" si="4"/>
        <v/>
      </c>
      <c r="K67" s="6" t="str">
        <f t="shared" ca="1" si="5"/>
        <v/>
      </c>
      <c r="L67" s="5"/>
      <c r="M67" s="5"/>
    </row>
    <row r="68" spans="1:13" x14ac:dyDescent="0.2">
      <c r="A68" s="12" t="str">
        <f t="shared" ref="A68:A99" si="6">IF(C68="","","I-"&amp;TEXT(ROW()-3,"000"))</f>
        <v/>
      </c>
      <c r="B68" s="5"/>
      <c r="C68" s="5"/>
      <c r="D68" s="5"/>
      <c r="E68" s="5"/>
      <c r="F68" s="5"/>
      <c r="G68" s="5"/>
      <c r="H68" s="8"/>
      <c r="I68" s="8"/>
      <c r="J68" s="7" t="str">
        <f t="shared" ref="J68:J99" si="7">IF(OR(H68="",I68=""),"",I68-H68)</f>
        <v/>
      </c>
      <c r="K68" s="6" t="str">
        <f t="shared" ref="K68:K99" ca="1" si="8">IF(OR(G68="",I68=""),"",IF(AND(G68&lt;&gt;"Closed",TODAY()&gt;I68),"Overdue","On Track"))</f>
        <v/>
      </c>
      <c r="L68" s="5"/>
      <c r="M68" s="5"/>
    </row>
    <row r="69" spans="1:13" x14ac:dyDescent="0.2">
      <c r="A69" s="12" t="str">
        <f t="shared" si="6"/>
        <v/>
      </c>
      <c r="B69" s="5"/>
      <c r="C69" s="5"/>
      <c r="D69" s="5"/>
      <c r="E69" s="5"/>
      <c r="F69" s="5"/>
      <c r="G69" s="5"/>
      <c r="H69" s="8"/>
      <c r="I69" s="8"/>
      <c r="J69" s="7" t="str">
        <f t="shared" si="7"/>
        <v/>
      </c>
      <c r="K69" s="6" t="str">
        <f t="shared" ca="1" si="8"/>
        <v/>
      </c>
      <c r="L69" s="5"/>
      <c r="M69" s="5"/>
    </row>
    <row r="70" spans="1:13" x14ac:dyDescent="0.2">
      <c r="A70" s="12" t="str">
        <f t="shared" si="6"/>
        <v/>
      </c>
      <c r="B70" s="5"/>
      <c r="C70" s="5"/>
      <c r="D70" s="5"/>
      <c r="E70" s="5"/>
      <c r="F70" s="5"/>
      <c r="G70" s="5"/>
      <c r="H70" s="8"/>
      <c r="I70" s="8"/>
      <c r="J70" s="7" t="str">
        <f t="shared" si="7"/>
        <v/>
      </c>
      <c r="K70" s="6" t="str">
        <f t="shared" ca="1" si="8"/>
        <v/>
      </c>
      <c r="L70" s="5"/>
      <c r="M70" s="5"/>
    </row>
    <row r="71" spans="1:13" x14ac:dyDescent="0.2">
      <c r="A71" s="12" t="str">
        <f t="shared" si="6"/>
        <v/>
      </c>
      <c r="B71" s="5"/>
      <c r="C71" s="5"/>
      <c r="D71" s="5"/>
      <c r="E71" s="5"/>
      <c r="F71" s="5"/>
      <c r="G71" s="5"/>
      <c r="H71" s="8"/>
      <c r="I71" s="8"/>
      <c r="J71" s="7" t="str">
        <f t="shared" si="7"/>
        <v/>
      </c>
      <c r="K71" s="6" t="str">
        <f t="shared" ca="1" si="8"/>
        <v/>
      </c>
      <c r="L71" s="5"/>
      <c r="M71" s="5"/>
    </row>
    <row r="72" spans="1:13" x14ac:dyDescent="0.2">
      <c r="A72" s="12" t="str">
        <f t="shared" si="6"/>
        <v/>
      </c>
      <c r="B72" s="5"/>
      <c r="C72" s="5"/>
      <c r="D72" s="5"/>
      <c r="E72" s="5"/>
      <c r="F72" s="5"/>
      <c r="G72" s="5"/>
      <c r="H72" s="8"/>
      <c r="I72" s="8"/>
      <c r="J72" s="7" t="str">
        <f t="shared" si="7"/>
        <v/>
      </c>
      <c r="K72" s="6" t="str">
        <f t="shared" ca="1" si="8"/>
        <v/>
      </c>
      <c r="L72" s="5"/>
      <c r="M72" s="5"/>
    </row>
    <row r="73" spans="1:13" x14ac:dyDescent="0.2">
      <c r="A73" s="12" t="str">
        <f t="shared" si="6"/>
        <v/>
      </c>
      <c r="B73" s="5"/>
      <c r="C73" s="5"/>
      <c r="D73" s="5"/>
      <c r="E73" s="5"/>
      <c r="F73" s="5"/>
      <c r="G73" s="5"/>
      <c r="H73" s="8"/>
      <c r="I73" s="8"/>
      <c r="J73" s="7" t="str">
        <f t="shared" si="7"/>
        <v/>
      </c>
      <c r="K73" s="6" t="str">
        <f t="shared" ca="1" si="8"/>
        <v/>
      </c>
      <c r="L73" s="5"/>
      <c r="M73" s="5"/>
    </row>
    <row r="74" spans="1:13" x14ac:dyDescent="0.2">
      <c r="A74" s="12" t="str">
        <f t="shared" si="6"/>
        <v/>
      </c>
      <c r="B74" s="5"/>
      <c r="C74" s="5"/>
      <c r="D74" s="5"/>
      <c r="E74" s="5"/>
      <c r="F74" s="5"/>
      <c r="G74" s="5"/>
      <c r="H74" s="8"/>
      <c r="I74" s="8"/>
      <c r="J74" s="7" t="str">
        <f t="shared" si="7"/>
        <v/>
      </c>
      <c r="K74" s="6" t="str">
        <f t="shared" ca="1" si="8"/>
        <v/>
      </c>
      <c r="L74" s="5"/>
      <c r="M74" s="5"/>
    </row>
    <row r="75" spans="1:13" x14ac:dyDescent="0.2">
      <c r="A75" s="12" t="str">
        <f t="shared" si="6"/>
        <v/>
      </c>
      <c r="B75" s="5"/>
      <c r="C75" s="5"/>
      <c r="D75" s="5"/>
      <c r="E75" s="5"/>
      <c r="F75" s="5"/>
      <c r="G75" s="5"/>
      <c r="H75" s="8"/>
      <c r="I75" s="8"/>
      <c r="J75" s="7" t="str">
        <f t="shared" si="7"/>
        <v/>
      </c>
      <c r="K75" s="6" t="str">
        <f t="shared" ca="1" si="8"/>
        <v/>
      </c>
      <c r="L75" s="5"/>
      <c r="M75" s="5"/>
    </row>
    <row r="76" spans="1:13" x14ac:dyDescent="0.2">
      <c r="A76" s="12" t="str">
        <f t="shared" si="6"/>
        <v/>
      </c>
      <c r="B76" s="5"/>
      <c r="C76" s="5"/>
      <c r="D76" s="5"/>
      <c r="E76" s="5"/>
      <c r="F76" s="5"/>
      <c r="G76" s="5"/>
      <c r="H76" s="8"/>
      <c r="I76" s="8"/>
      <c r="J76" s="7" t="str">
        <f t="shared" si="7"/>
        <v/>
      </c>
      <c r="K76" s="6" t="str">
        <f t="shared" ca="1" si="8"/>
        <v/>
      </c>
      <c r="L76" s="5"/>
      <c r="M76" s="5"/>
    </row>
    <row r="77" spans="1:13" x14ac:dyDescent="0.2">
      <c r="A77" s="12" t="str">
        <f t="shared" si="6"/>
        <v/>
      </c>
      <c r="B77" s="5"/>
      <c r="C77" s="5"/>
      <c r="D77" s="5"/>
      <c r="E77" s="5"/>
      <c r="F77" s="5"/>
      <c r="G77" s="5"/>
      <c r="H77" s="8"/>
      <c r="I77" s="8"/>
      <c r="J77" s="7" t="str">
        <f t="shared" si="7"/>
        <v/>
      </c>
      <c r="K77" s="6" t="str">
        <f t="shared" ca="1" si="8"/>
        <v/>
      </c>
      <c r="L77" s="5"/>
      <c r="M77" s="5"/>
    </row>
    <row r="78" spans="1:13" x14ac:dyDescent="0.2">
      <c r="A78" s="12" t="str">
        <f t="shared" si="6"/>
        <v/>
      </c>
      <c r="B78" s="5"/>
      <c r="C78" s="5"/>
      <c r="D78" s="5"/>
      <c r="E78" s="5"/>
      <c r="F78" s="5"/>
      <c r="G78" s="5"/>
      <c r="H78" s="8"/>
      <c r="I78" s="8"/>
      <c r="J78" s="7" t="str">
        <f t="shared" si="7"/>
        <v/>
      </c>
      <c r="K78" s="6" t="str">
        <f t="shared" ca="1" si="8"/>
        <v/>
      </c>
      <c r="L78" s="5"/>
      <c r="M78" s="5"/>
    </row>
    <row r="79" spans="1:13" x14ac:dyDescent="0.2">
      <c r="A79" s="12" t="str">
        <f t="shared" si="6"/>
        <v/>
      </c>
      <c r="B79" s="5"/>
      <c r="C79" s="5"/>
      <c r="D79" s="5"/>
      <c r="E79" s="5"/>
      <c r="F79" s="5"/>
      <c r="G79" s="5"/>
      <c r="H79" s="8"/>
      <c r="I79" s="8"/>
      <c r="J79" s="7" t="str">
        <f t="shared" si="7"/>
        <v/>
      </c>
      <c r="K79" s="6" t="str">
        <f t="shared" ca="1" si="8"/>
        <v/>
      </c>
      <c r="L79" s="5"/>
      <c r="M79" s="5"/>
    </row>
    <row r="80" spans="1:13" x14ac:dyDescent="0.2">
      <c r="A80" s="12" t="str">
        <f t="shared" si="6"/>
        <v/>
      </c>
      <c r="B80" s="5"/>
      <c r="C80" s="5"/>
      <c r="D80" s="5"/>
      <c r="E80" s="5"/>
      <c r="F80" s="5"/>
      <c r="G80" s="5"/>
      <c r="H80" s="8"/>
      <c r="I80" s="8"/>
      <c r="J80" s="7" t="str">
        <f t="shared" si="7"/>
        <v/>
      </c>
      <c r="K80" s="6" t="str">
        <f t="shared" ca="1" si="8"/>
        <v/>
      </c>
      <c r="L80" s="5"/>
      <c r="M80" s="5"/>
    </row>
    <row r="81" spans="1:13" x14ac:dyDescent="0.2">
      <c r="A81" s="12" t="str">
        <f t="shared" si="6"/>
        <v/>
      </c>
      <c r="B81" s="5"/>
      <c r="C81" s="5"/>
      <c r="D81" s="5"/>
      <c r="E81" s="5"/>
      <c r="F81" s="5"/>
      <c r="G81" s="5"/>
      <c r="H81" s="8"/>
      <c r="I81" s="8"/>
      <c r="J81" s="7" t="str">
        <f t="shared" si="7"/>
        <v/>
      </c>
      <c r="K81" s="6" t="str">
        <f t="shared" ca="1" si="8"/>
        <v/>
      </c>
      <c r="L81" s="5"/>
      <c r="M81" s="5"/>
    </row>
    <row r="82" spans="1:13" x14ac:dyDescent="0.2">
      <c r="A82" s="12" t="str">
        <f t="shared" si="6"/>
        <v/>
      </c>
      <c r="B82" s="5"/>
      <c r="C82" s="5"/>
      <c r="D82" s="5"/>
      <c r="E82" s="5"/>
      <c r="F82" s="5"/>
      <c r="G82" s="5"/>
      <c r="H82" s="8"/>
      <c r="I82" s="8"/>
      <c r="J82" s="7" t="str">
        <f t="shared" si="7"/>
        <v/>
      </c>
      <c r="K82" s="6" t="str">
        <f t="shared" ca="1" si="8"/>
        <v/>
      </c>
      <c r="L82" s="5"/>
      <c r="M82" s="5"/>
    </row>
    <row r="83" spans="1:13" x14ac:dyDescent="0.2">
      <c r="A83" s="12" t="str">
        <f t="shared" si="6"/>
        <v/>
      </c>
      <c r="B83" s="5"/>
      <c r="C83" s="5"/>
      <c r="D83" s="5"/>
      <c r="E83" s="5"/>
      <c r="F83" s="5"/>
      <c r="G83" s="5"/>
      <c r="H83" s="8"/>
      <c r="I83" s="8"/>
      <c r="J83" s="7" t="str">
        <f t="shared" si="7"/>
        <v/>
      </c>
      <c r="K83" s="6" t="str">
        <f t="shared" ca="1" si="8"/>
        <v/>
      </c>
      <c r="L83" s="5"/>
      <c r="M83" s="5"/>
    </row>
    <row r="84" spans="1:13" x14ac:dyDescent="0.2">
      <c r="A84" s="12" t="str">
        <f t="shared" si="6"/>
        <v/>
      </c>
      <c r="B84" s="5"/>
      <c r="C84" s="5"/>
      <c r="D84" s="5"/>
      <c r="E84" s="5"/>
      <c r="F84" s="5"/>
      <c r="G84" s="5"/>
      <c r="H84" s="8"/>
      <c r="I84" s="8"/>
      <c r="J84" s="7" t="str">
        <f t="shared" si="7"/>
        <v/>
      </c>
      <c r="K84" s="6" t="str">
        <f t="shared" ca="1" si="8"/>
        <v/>
      </c>
      <c r="L84" s="5"/>
      <c r="M84" s="5"/>
    </row>
    <row r="85" spans="1:13" x14ac:dyDescent="0.2">
      <c r="A85" s="12" t="str">
        <f t="shared" si="6"/>
        <v/>
      </c>
      <c r="B85" s="5"/>
      <c r="C85" s="5"/>
      <c r="D85" s="5"/>
      <c r="E85" s="5"/>
      <c r="F85" s="5"/>
      <c r="G85" s="5"/>
      <c r="H85" s="8"/>
      <c r="I85" s="8"/>
      <c r="J85" s="7" t="str">
        <f t="shared" si="7"/>
        <v/>
      </c>
      <c r="K85" s="6" t="str">
        <f t="shared" ca="1" si="8"/>
        <v/>
      </c>
      <c r="L85" s="5"/>
      <c r="M85" s="5"/>
    </row>
    <row r="86" spans="1:13" x14ac:dyDescent="0.2">
      <c r="A86" s="12" t="str">
        <f t="shared" si="6"/>
        <v/>
      </c>
      <c r="B86" s="5"/>
      <c r="C86" s="5"/>
      <c r="D86" s="5"/>
      <c r="E86" s="5"/>
      <c r="F86" s="5"/>
      <c r="G86" s="5"/>
      <c r="H86" s="8"/>
      <c r="I86" s="8"/>
      <c r="J86" s="7" t="str">
        <f t="shared" si="7"/>
        <v/>
      </c>
      <c r="K86" s="6" t="str">
        <f t="shared" ca="1" si="8"/>
        <v/>
      </c>
      <c r="L86" s="5"/>
      <c r="M86" s="5"/>
    </row>
    <row r="87" spans="1:13" x14ac:dyDescent="0.2">
      <c r="A87" s="12" t="str">
        <f t="shared" si="6"/>
        <v/>
      </c>
      <c r="B87" s="5"/>
      <c r="C87" s="5"/>
      <c r="D87" s="5"/>
      <c r="E87" s="5"/>
      <c r="F87" s="5"/>
      <c r="G87" s="5"/>
      <c r="H87" s="8"/>
      <c r="I87" s="8"/>
      <c r="J87" s="7" t="str">
        <f t="shared" si="7"/>
        <v/>
      </c>
      <c r="K87" s="6" t="str">
        <f t="shared" ca="1" si="8"/>
        <v/>
      </c>
      <c r="L87" s="5"/>
      <c r="M87" s="5"/>
    </row>
    <row r="88" spans="1:13" x14ac:dyDescent="0.2">
      <c r="A88" s="12" t="str">
        <f t="shared" si="6"/>
        <v/>
      </c>
      <c r="B88" s="5"/>
      <c r="C88" s="5"/>
      <c r="D88" s="5"/>
      <c r="E88" s="5"/>
      <c r="F88" s="5"/>
      <c r="G88" s="5"/>
      <c r="H88" s="8"/>
      <c r="I88" s="8"/>
      <c r="J88" s="7" t="str">
        <f t="shared" si="7"/>
        <v/>
      </c>
      <c r="K88" s="6" t="str">
        <f t="shared" ca="1" si="8"/>
        <v/>
      </c>
      <c r="L88" s="5"/>
      <c r="M88" s="5"/>
    </row>
    <row r="89" spans="1:13" x14ac:dyDescent="0.2">
      <c r="A89" s="12" t="str">
        <f t="shared" si="6"/>
        <v/>
      </c>
      <c r="B89" s="5"/>
      <c r="C89" s="5"/>
      <c r="D89" s="5"/>
      <c r="E89" s="5"/>
      <c r="F89" s="5"/>
      <c r="G89" s="5"/>
      <c r="H89" s="8"/>
      <c r="I89" s="8"/>
      <c r="J89" s="7" t="str">
        <f t="shared" si="7"/>
        <v/>
      </c>
      <c r="K89" s="6" t="str">
        <f t="shared" ca="1" si="8"/>
        <v/>
      </c>
      <c r="L89" s="5"/>
      <c r="M89" s="5"/>
    </row>
    <row r="90" spans="1:13" x14ac:dyDescent="0.2">
      <c r="A90" s="12" t="str">
        <f t="shared" si="6"/>
        <v/>
      </c>
      <c r="B90" s="5"/>
      <c r="C90" s="5"/>
      <c r="D90" s="5"/>
      <c r="E90" s="5"/>
      <c r="F90" s="5"/>
      <c r="G90" s="5"/>
      <c r="H90" s="8"/>
      <c r="I90" s="8"/>
      <c r="J90" s="7" t="str">
        <f t="shared" si="7"/>
        <v/>
      </c>
      <c r="K90" s="6" t="str">
        <f t="shared" ca="1" si="8"/>
        <v/>
      </c>
      <c r="L90" s="5"/>
      <c r="M90" s="5"/>
    </row>
    <row r="91" spans="1:13" x14ac:dyDescent="0.2">
      <c r="A91" s="12" t="str">
        <f t="shared" si="6"/>
        <v/>
      </c>
      <c r="B91" s="5"/>
      <c r="C91" s="5"/>
      <c r="D91" s="5"/>
      <c r="E91" s="5"/>
      <c r="F91" s="5"/>
      <c r="G91" s="5"/>
      <c r="H91" s="8"/>
      <c r="I91" s="8"/>
      <c r="J91" s="7" t="str">
        <f t="shared" si="7"/>
        <v/>
      </c>
      <c r="K91" s="6" t="str">
        <f t="shared" ca="1" si="8"/>
        <v/>
      </c>
      <c r="L91" s="5"/>
      <c r="M91" s="5"/>
    </row>
    <row r="92" spans="1:13" x14ac:dyDescent="0.2">
      <c r="A92" s="12" t="str">
        <f t="shared" si="6"/>
        <v/>
      </c>
      <c r="B92" s="5"/>
      <c r="C92" s="5"/>
      <c r="D92" s="5"/>
      <c r="E92" s="5"/>
      <c r="F92" s="5"/>
      <c r="G92" s="5"/>
      <c r="H92" s="8"/>
      <c r="I92" s="8"/>
      <c r="J92" s="7" t="str">
        <f t="shared" si="7"/>
        <v/>
      </c>
      <c r="K92" s="6" t="str">
        <f t="shared" ca="1" si="8"/>
        <v/>
      </c>
      <c r="L92" s="5"/>
      <c r="M92" s="5"/>
    </row>
    <row r="93" spans="1:13" x14ac:dyDescent="0.2">
      <c r="A93" s="12" t="str">
        <f t="shared" si="6"/>
        <v/>
      </c>
      <c r="B93" s="5"/>
      <c r="C93" s="5"/>
      <c r="D93" s="5"/>
      <c r="E93" s="5"/>
      <c r="F93" s="5"/>
      <c r="G93" s="5"/>
      <c r="H93" s="8"/>
      <c r="I93" s="8"/>
      <c r="J93" s="7" t="str">
        <f t="shared" si="7"/>
        <v/>
      </c>
      <c r="K93" s="6" t="str">
        <f t="shared" ca="1" si="8"/>
        <v/>
      </c>
      <c r="L93" s="5"/>
      <c r="M93" s="5"/>
    </row>
    <row r="94" spans="1:13" x14ac:dyDescent="0.2">
      <c r="A94" s="12" t="str">
        <f t="shared" si="6"/>
        <v/>
      </c>
      <c r="B94" s="5"/>
      <c r="C94" s="5"/>
      <c r="D94" s="5"/>
      <c r="E94" s="5"/>
      <c r="F94" s="5"/>
      <c r="G94" s="5"/>
      <c r="H94" s="8"/>
      <c r="I94" s="8"/>
      <c r="J94" s="7" t="str">
        <f t="shared" si="7"/>
        <v/>
      </c>
      <c r="K94" s="6" t="str">
        <f t="shared" ca="1" si="8"/>
        <v/>
      </c>
      <c r="L94" s="5"/>
      <c r="M94" s="5"/>
    </row>
    <row r="95" spans="1:13" x14ac:dyDescent="0.2">
      <c r="A95" s="12" t="str">
        <f t="shared" si="6"/>
        <v/>
      </c>
      <c r="B95" s="5"/>
      <c r="C95" s="5"/>
      <c r="D95" s="5"/>
      <c r="E95" s="5"/>
      <c r="F95" s="5"/>
      <c r="G95" s="5"/>
      <c r="H95" s="8"/>
      <c r="I95" s="8"/>
      <c r="J95" s="7" t="str">
        <f t="shared" si="7"/>
        <v/>
      </c>
      <c r="K95" s="6" t="str">
        <f t="shared" ca="1" si="8"/>
        <v/>
      </c>
      <c r="L95" s="5"/>
      <c r="M95" s="5"/>
    </row>
    <row r="96" spans="1:13" x14ac:dyDescent="0.2">
      <c r="A96" s="12" t="str">
        <f t="shared" si="6"/>
        <v/>
      </c>
      <c r="B96" s="5"/>
      <c r="C96" s="5"/>
      <c r="D96" s="5"/>
      <c r="E96" s="5"/>
      <c r="F96" s="5"/>
      <c r="G96" s="5"/>
      <c r="H96" s="8"/>
      <c r="I96" s="8"/>
      <c r="J96" s="7" t="str">
        <f t="shared" si="7"/>
        <v/>
      </c>
      <c r="K96" s="6" t="str">
        <f t="shared" ca="1" si="8"/>
        <v/>
      </c>
      <c r="L96" s="5"/>
      <c r="M96" s="5"/>
    </row>
    <row r="97" spans="1:13" x14ac:dyDescent="0.2">
      <c r="A97" s="12" t="str">
        <f t="shared" si="6"/>
        <v/>
      </c>
      <c r="B97" s="5"/>
      <c r="C97" s="5"/>
      <c r="D97" s="5"/>
      <c r="E97" s="5"/>
      <c r="F97" s="5"/>
      <c r="G97" s="5"/>
      <c r="H97" s="8"/>
      <c r="I97" s="8"/>
      <c r="J97" s="7" t="str">
        <f t="shared" si="7"/>
        <v/>
      </c>
      <c r="K97" s="6" t="str">
        <f t="shared" ca="1" si="8"/>
        <v/>
      </c>
      <c r="L97" s="5"/>
      <c r="M97" s="5"/>
    </row>
    <row r="98" spans="1:13" x14ac:dyDescent="0.2">
      <c r="A98" s="12" t="str">
        <f t="shared" si="6"/>
        <v/>
      </c>
      <c r="B98" s="5"/>
      <c r="C98" s="5"/>
      <c r="D98" s="5"/>
      <c r="E98" s="5"/>
      <c r="F98" s="5"/>
      <c r="G98" s="5"/>
      <c r="H98" s="8"/>
      <c r="I98" s="8"/>
      <c r="J98" s="7" t="str">
        <f t="shared" si="7"/>
        <v/>
      </c>
      <c r="K98" s="6" t="str">
        <f t="shared" ca="1" si="8"/>
        <v/>
      </c>
      <c r="L98" s="5"/>
      <c r="M98" s="5"/>
    </row>
    <row r="99" spans="1:13" x14ac:dyDescent="0.2">
      <c r="A99" s="12" t="str">
        <f t="shared" si="6"/>
        <v/>
      </c>
      <c r="B99" s="5"/>
      <c r="C99" s="5"/>
      <c r="D99" s="5"/>
      <c r="E99" s="5"/>
      <c r="F99" s="5"/>
      <c r="G99" s="5"/>
      <c r="H99" s="8"/>
      <c r="I99" s="8"/>
      <c r="J99" s="7" t="str">
        <f t="shared" si="7"/>
        <v/>
      </c>
      <c r="K99" s="6" t="str">
        <f t="shared" ca="1" si="8"/>
        <v/>
      </c>
      <c r="L99" s="5"/>
      <c r="M99" s="5"/>
    </row>
    <row r="100" spans="1:13" x14ac:dyDescent="0.2">
      <c r="A100" s="12" t="str">
        <f t="shared" ref="A100:A120" si="9">IF(C100="","","I-"&amp;TEXT(ROW()-3,"000"))</f>
        <v/>
      </c>
      <c r="B100" s="5"/>
      <c r="C100" s="5"/>
      <c r="D100" s="5"/>
      <c r="E100" s="5"/>
      <c r="F100" s="5"/>
      <c r="G100" s="5"/>
      <c r="H100" s="8"/>
      <c r="I100" s="8"/>
      <c r="J100" s="7" t="str">
        <f t="shared" ref="J100:J120" si="10">IF(OR(H100="",I100=""),"",I100-H100)</f>
        <v/>
      </c>
      <c r="K100" s="6" t="str">
        <f t="shared" ref="K100:K120" ca="1" si="11">IF(OR(G100="",I100=""),"",IF(AND(G100&lt;&gt;"Closed",TODAY()&gt;I100),"Overdue","On Track"))</f>
        <v/>
      </c>
      <c r="L100" s="5"/>
      <c r="M100" s="5"/>
    </row>
    <row r="101" spans="1:13" x14ac:dyDescent="0.2">
      <c r="A101" s="12" t="str">
        <f t="shared" si="9"/>
        <v/>
      </c>
      <c r="B101" s="5"/>
      <c r="C101" s="5"/>
      <c r="D101" s="5"/>
      <c r="E101" s="5"/>
      <c r="F101" s="5"/>
      <c r="G101" s="5"/>
      <c r="H101" s="8"/>
      <c r="I101" s="8"/>
      <c r="J101" s="7" t="str">
        <f t="shared" si="10"/>
        <v/>
      </c>
      <c r="K101" s="6" t="str">
        <f t="shared" ca="1" si="11"/>
        <v/>
      </c>
      <c r="L101" s="5"/>
      <c r="M101" s="5"/>
    </row>
    <row r="102" spans="1:13" x14ac:dyDescent="0.2">
      <c r="A102" s="12" t="str">
        <f t="shared" si="9"/>
        <v/>
      </c>
      <c r="B102" s="5"/>
      <c r="C102" s="5"/>
      <c r="D102" s="5"/>
      <c r="E102" s="5"/>
      <c r="F102" s="5"/>
      <c r="G102" s="5"/>
      <c r="H102" s="8"/>
      <c r="I102" s="8"/>
      <c r="J102" s="7" t="str">
        <f t="shared" si="10"/>
        <v/>
      </c>
      <c r="K102" s="6" t="str">
        <f t="shared" ca="1" si="11"/>
        <v/>
      </c>
      <c r="L102" s="5"/>
      <c r="M102" s="5"/>
    </row>
    <row r="103" spans="1:13" x14ac:dyDescent="0.2">
      <c r="A103" s="12" t="str">
        <f t="shared" si="9"/>
        <v/>
      </c>
      <c r="B103" s="5"/>
      <c r="C103" s="5"/>
      <c r="D103" s="5"/>
      <c r="E103" s="5"/>
      <c r="F103" s="5"/>
      <c r="G103" s="5"/>
      <c r="H103" s="8"/>
      <c r="I103" s="8"/>
      <c r="J103" s="7" t="str">
        <f t="shared" si="10"/>
        <v/>
      </c>
      <c r="K103" s="6" t="str">
        <f t="shared" ca="1" si="11"/>
        <v/>
      </c>
      <c r="L103" s="5"/>
      <c r="M103" s="5"/>
    </row>
    <row r="104" spans="1:13" x14ac:dyDescent="0.2">
      <c r="A104" s="12" t="str">
        <f t="shared" si="9"/>
        <v/>
      </c>
      <c r="B104" s="5"/>
      <c r="C104" s="5"/>
      <c r="D104" s="5"/>
      <c r="E104" s="5"/>
      <c r="F104" s="5"/>
      <c r="G104" s="5"/>
      <c r="H104" s="8"/>
      <c r="I104" s="8"/>
      <c r="J104" s="7" t="str">
        <f t="shared" si="10"/>
        <v/>
      </c>
      <c r="K104" s="6" t="str">
        <f t="shared" ca="1" si="11"/>
        <v/>
      </c>
      <c r="L104" s="5"/>
      <c r="M104" s="5"/>
    </row>
    <row r="105" spans="1:13" x14ac:dyDescent="0.2">
      <c r="A105" s="12" t="str">
        <f t="shared" si="9"/>
        <v/>
      </c>
      <c r="B105" s="5"/>
      <c r="C105" s="5"/>
      <c r="D105" s="5"/>
      <c r="E105" s="5"/>
      <c r="F105" s="5"/>
      <c r="G105" s="5"/>
      <c r="H105" s="8"/>
      <c r="I105" s="8"/>
      <c r="J105" s="7" t="str">
        <f t="shared" si="10"/>
        <v/>
      </c>
      <c r="K105" s="6" t="str">
        <f t="shared" ca="1" si="11"/>
        <v/>
      </c>
      <c r="L105" s="5"/>
      <c r="M105" s="5"/>
    </row>
    <row r="106" spans="1:13" x14ac:dyDescent="0.2">
      <c r="A106" s="12" t="str">
        <f t="shared" si="9"/>
        <v/>
      </c>
      <c r="B106" s="5"/>
      <c r="C106" s="5"/>
      <c r="D106" s="5"/>
      <c r="E106" s="5"/>
      <c r="F106" s="5"/>
      <c r="G106" s="5"/>
      <c r="H106" s="8"/>
      <c r="I106" s="8"/>
      <c r="J106" s="7" t="str">
        <f t="shared" si="10"/>
        <v/>
      </c>
      <c r="K106" s="6" t="str">
        <f t="shared" ca="1" si="11"/>
        <v/>
      </c>
      <c r="L106" s="5"/>
      <c r="M106" s="5"/>
    </row>
    <row r="107" spans="1:13" x14ac:dyDescent="0.2">
      <c r="A107" s="12" t="str">
        <f t="shared" si="9"/>
        <v/>
      </c>
      <c r="B107" s="5"/>
      <c r="C107" s="5"/>
      <c r="D107" s="5"/>
      <c r="E107" s="5"/>
      <c r="F107" s="5"/>
      <c r="G107" s="5"/>
      <c r="H107" s="8"/>
      <c r="I107" s="8"/>
      <c r="J107" s="7" t="str">
        <f t="shared" si="10"/>
        <v/>
      </c>
      <c r="K107" s="6" t="str">
        <f t="shared" ca="1" si="11"/>
        <v/>
      </c>
      <c r="L107" s="5"/>
      <c r="M107" s="5"/>
    </row>
    <row r="108" spans="1:13" x14ac:dyDescent="0.2">
      <c r="A108" s="12" t="str">
        <f t="shared" si="9"/>
        <v/>
      </c>
      <c r="B108" s="5"/>
      <c r="C108" s="5"/>
      <c r="D108" s="5"/>
      <c r="E108" s="5"/>
      <c r="F108" s="5"/>
      <c r="G108" s="5"/>
      <c r="H108" s="8"/>
      <c r="I108" s="8"/>
      <c r="J108" s="7" t="str">
        <f t="shared" si="10"/>
        <v/>
      </c>
      <c r="K108" s="6" t="str">
        <f t="shared" ca="1" si="11"/>
        <v/>
      </c>
      <c r="L108" s="5"/>
      <c r="M108" s="5"/>
    </row>
    <row r="109" spans="1:13" x14ac:dyDescent="0.2">
      <c r="A109" s="12" t="str">
        <f t="shared" si="9"/>
        <v/>
      </c>
      <c r="B109" s="5"/>
      <c r="C109" s="5"/>
      <c r="D109" s="5"/>
      <c r="E109" s="5"/>
      <c r="F109" s="5"/>
      <c r="G109" s="5"/>
      <c r="H109" s="8"/>
      <c r="I109" s="8"/>
      <c r="J109" s="7" t="str">
        <f t="shared" si="10"/>
        <v/>
      </c>
      <c r="K109" s="6" t="str">
        <f t="shared" ca="1" si="11"/>
        <v/>
      </c>
      <c r="L109" s="5"/>
      <c r="M109" s="5"/>
    </row>
    <row r="110" spans="1:13" x14ac:dyDescent="0.2">
      <c r="A110" s="12" t="str">
        <f t="shared" si="9"/>
        <v/>
      </c>
      <c r="B110" s="5"/>
      <c r="C110" s="5"/>
      <c r="D110" s="5"/>
      <c r="E110" s="5"/>
      <c r="F110" s="5"/>
      <c r="G110" s="5"/>
      <c r="H110" s="8"/>
      <c r="I110" s="8"/>
      <c r="J110" s="7" t="str">
        <f t="shared" si="10"/>
        <v/>
      </c>
      <c r="K110" s="6" t="str">
        <f t="shared" ca="1" si="11"/>
        <v/>
      </c>
      <c r="L110" s="5"/>
      <c r="M110" s="5"/>
    </row>
    <row r="111" spans="1:13" x14ac:dyDescent="0.2">
      <c r="A111" s="12" t="str">
        <f t="shared" si="9"/>
        <v/>
      </c>
      <c r="B111" s="5"/>
      <c r="C111" s="5"/>
      <c r="D111" s="5"/>
      <c r="E111" s="5"/>
      <c r="F111" s="5"/>
      <c r="G111" s="5"/>
      <c r="H111" s="8"/>
      <c r="I111" s="8"/>
      <c r="J111" s="7" t="str">
        <f t="shared" si="10"/>
        <v/>
      </c>
      <c r="K111" s="6" t="str">
        <f t="shared" ca="1" si="11"/>
        <v/>
      </c>
      <c r="L111" s="5"/>
      <c r="M111" s="5"/>
    </row>
    <row r="112" spans="1:13" x14ac:dyDescent="0.2">
      <c r="A112" s="12" t="str">
        <f t="shared" si="9"/>
        <v/>
      </c>
      <c r="B112" s="5"/>
      <c r="C112" s="5"/>
      <c r="D112" s="5"/>
      <c r="E112" s="5"/>
      <c r="F112" s="5"/>
      <c r="G112" s="5"/>
      <c r="H112" s="8"/>
      <c r="I112" s="8"/>
      <c r="J112" s="7" t="str">
        <f t="shared" si="10"/>
        <v/>
      </c>
      <c r="K112" s="6" t="str">
        <f t="shared" ca="1" si="11"/>
        <v/>
      </c>
      <c r="L112" s="5"/>
      <c r="M112" s="5"/>
    </row>
    <row r="113" spans="1:13" x14ac:dyDescent="0.2">
      <c r="A113" s="12" t="str">
        <f t="shared" si="9"/>
        <v/>
      </c>
      <c r="B113" s="5"/>
      <c r="C113" s="5"/>
      <c r="D113" s="5"/>
      <c r="E113" s="5"/>
      <c r="F113" s="5"/>
      <c r="G113" s="5"/>
      <c r="H113" s="8"/>
      <c r="I113" s="8"/>
      <c r="J113" s="7" t="str">
        <f t="shared" si="10"/>
        <v/>
      </c>
      <c r="K113" s="6" t="str">
        <f t="shared" ca="1" si="11"/>
        <v/>
      </c>
      <c r="L113" s="5"/>
      <c r="M113" s="5"/>
    </row>
    <row r="114" spans="1:13" x14ac:dyDescent="0.2">
      <c r="A114" s="12" t="str">
        <f t="shared" si="9"/>
        <v/>
      </c>
      <c r="B114" s="5"/>
      <c r="C114" s="5"/>
      <c r="D114" s="5"/>
      <c r="E114" s="5"/>
      <c r="F114" s="5"/>
      <c r="G114" s="5"/>
      <c r="H114" s="8"/>
      <c r="I114" s="8"/>
      <c r="J114" s="7" t="str">
        <f t="shared" si="10"/>
        <v/>
      </c>
      <c r="K114" s="6" t="str">
        <f t="shared" ca="1" si="11"/>
        <v/>
      </c>
      <c r="L114" s="5"/>
      <c r="M114" s="5"/>
    </row>
    <row r="115" spans="1:13" x14ac:dyDescent="0.2">
      <c r="A115" s="12" t="str">
        <f t="shared" si="9"/>
        <v/>
      </c>
      <c r="B115" s="5"/>
      <c r="C115" s="5"/>
      <c r="D115" s="5"/>
      <c r="E115" s="5"/>
      <c r="F115" s="5"/>
      <c r="G115" s="5"/>
      <c r="H115" s="8"/>
      <c r="I115" s="8"/>
      <c r="J115" s="7" t="str">
        <f t="shared" si="10"/>
        <v/>
      </c>
      <c r="K115" s="6" t="str">
        <f t="shared" ca="1" si="11"/>
        <v/>
      </c>
      <c r="L115" s="5"/>
      <c r="M115" s="5"/>
    </row>
    <row r="116" spans="1:13" x14ac:dyDescent="0.2">
      <c r="A116" s="12" t="str">
        <f t="shared" si="9"/>
        <v/>
      </c>
      <c r="B116" s="5"/>
      <c r="C116" s="5"/>
      <c r="D116" s="5"/>
      <c r="E116" s="5"/>
      <c r="F116" s="5"/>
      <c r="G116" s="5"/>
      <c r="H116" s="8"/>
      <c r="I116" s="8"/>
      <c r="J116" s="7" t="str">
        <f t="shared" si="10"/>
        <v/>
      </c>
      <c r="K116" s="6" t="str">
        <f t="shared" ca="1" si="11"/>
        <v/>
      </c>
      <c r="L116" s="5"/>
      <c r="M116" s="5"/>
    </row>
    <row r="117" spans="1:13" x14ac:dyDescent="0.2">
      <c r="A117" s="12" t="str">
        <f t="shared" si="9"/>
        <v/>
      </c>
      <c r="B117" s="5"/>
      <c r="C117" s="5"/>
      <c r="D117" s="5"/>
      <c r="E117" s="5"/>
      <c r="F117" s="5"/>
      <c r="G117" s="5"/>
      <c r="H117" s="8"/>
      <c r="I117" s="8"/>
      <c r="J117" s="7" t="str">
        <f t="shared" si="10"/>
        <v/>
      </c>
      <c r="K117" s="6" t="str">
        <f t="shared" ca="1" si="11"/>
        <v/>
      </c>
      <c r="L117" s="5"/>
      <c r="M117" s="5"/>
    </row>
    <row r="118" spans="1:13" x14ac:dyDescent="0.2">
      <c r="A118" s="12" t="str">
        <f t="shared" si="9"/>
        <v/>
      </c>
      <c r="B118" s="5"/>
      <c r="C118" s="5"/>
      <c r="D118" s="5"/>
      <c r="E118" s="5"/>
      <c r="F118" s="5"/>
      <c r="G118" s="5"/>
      <c r="H118" s="8"/>
      <c r="I118" s="8"/>
      <c r="J118" s="7" t="str">
        <f t="shared" si="10"/>
        <v/>
      </c>
      <c r="K118" s="6" t="str">
        <f t="shared" ca="1" si="11"/>
        <v/>
      </c>
      <c r="L118" s="5"/>
      <c r="M118" s="5"/>
    </row>
    <row r="119" spans="1:13" x14ac:dyDescent="0.2">
      <c r="A119" s="12" t="str">
        <f t="shared" si="9"/>
        <v/>
      </c>
      <c r="B119" s="5"/>
      <c r="C119" s="5"/>
      <c r="D119" s="5"/>
      <c r="E119" s="5"/>
      <c r="F119" s="5"/>
      <c r="G119" s="5"/>
      <c r="H119" s="8"/>
      <c r="I119" s="8"/>
      <c r="J119" s="7" t="str">
        <f t="shared" si="10"/>
        <v/>
      </c>
      <c r="K119" s="6" t="str">
        <f t="shared" ca="1" si="11"/>
        <v/>
      </c>
      <c r="L119" s="5"/>
      <c r="M119" s="5"/>
    </row>
    <row r="120" spans="1:13" x14ac:dyDescent="0.2">
      <c r="A120" s="12" t="str">
        <f t="shared" si="9"/>
        <v/>
      </c>
      <c r="B120" s="5"/>
      <c r="C120" s="5"/>
      <c r="D120" s="5"/>
      <c r="E120" s="5"/>
      <c r="F120" s="5"/>
      <c r="G120" s="5"/>
      <c r="H120" s="8"/>
      <c r="I120" s="8"/>
      <c r="J120" s="7" t="str">
        <f t="shared" si="10"/>
        <v/>
      </c>
      <c r="K120" s="6" t="str">
        <f t="shared" ca="1" si="11"/>
        <v/>
      </c>
      <c r="L120" s="5"/>
      <c r="M120" s="5"/>
    </row>
  </sheetData>
  <mergeCells count="1">
    <mergeCell ref="A1:M1"/>
  </mergeCells>
  <conditionalFormatting sqref="K4:K120">
    <cfRule type="expression" dxfId="1" priority="1">
      <formula>K4="Overdue"</formula>
    </cfRule>
    <cfRule type="expression" dxfId="0" priority="2">
      <formula>K4="On Track"</formula>
    </cfRule>
  </conditionalFormatting>
  <dataValidations count="3">
    <dataValidation type="list" allowBlank="1" sqref="E4:E120" xr:uid="{00000000-0002-0000-0500-000000000000}">
      <formula1>OwnerList</formula1>
    </dataValidation>
    <dataValidation type="list" allowBlank="1" sqref="F4:F120" xr:uid="{00000000-0002-0000-0500-000001000000}">
      <formula1>PriorityList</formula1>
    </dataValidation>
    <dataValidation type="list" allowBlank="1" sqref="G4:G120" xr:uid="{00000000-0002-0000-0500-000002000000}">
      <formula1>RemediationStatusList</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0D22D-9A67-2B4F-BB80-0B4AE422502E}">
  <dimension ref="A1:D24"/>
  <sheetViews>
    <sheetView zoomScale="147" zoomScaleNormal="147" workbookViewId="0">
      <selection activeCell="D9" sqref="D9"/>
    </sheetView>
  </sheetViews>
  <sheetFormatPr baseColWidth="10" defaultRowHeight="15" x14ac:dyDescent="0.2"/>
  <cols>
    <col min="1" max="1" width="68.83203125" customWidth="1"/>
    <col min="2" max="2" width="33.83203125" customWidth="1"/>
    <col min="3" max="3" width="30.83203125" customWidth="1"/>
    <col min="4" max="4" width="55.5" customWidth="1"/>
  </cols>
  <sheetData>
    <row r="1" spans="1:4" ht="44" customHeight="1" x14ac:dyDescent="0.2">
      <c r="A1" s="46" t="s">
        <v>325</v>
      </c>
      <c r="B1" s="47" t="s">
        <v>326</v>
      </c>
      <c r="C1" s="48" t="s">
        <v>327</v>
      </c>
      <c r="D1" s="49" t="s">
        <v>328</v>
      </c>
    </row>
    <row r="6" spans="1:4" x14ac:dyDescent="0.2">
      <c r="C6" t="s">
        <v>331</v>
      </c>
      <c r="D6" t="s">
        <v>332</v>
      </c>
    </row>
    <row r="11" spans="1:4" ht="32" x14ac:dyDescent="0.2">
      <c r="A11" t="s">
        <v>329</v>
      </c>
      <c r="B11" s="30" t="s">
        <v>330</v>
      </c>
    </row>
    <row r="24" spans="2:2" x14ac:dyDescent="0.2">
      <c r="B24" s="30"/>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60"/>
  <sheetViews>
    <sheetView showGridLines="0" topLeftCell="A2" zoomScale="110" zoomScaleNormal="110" workbookViewId="0">
      <selection activeCell="H9" sqref="H9"/>
    </sheetView>
  </sheetViews>
  <sheetFormatPr baseColWidth="10" defaultColWidth="0" defaultRowHeight="15" x14ac:dyDescent="0.2"/>
  <cols>
    <col min="1" max="1" width="12" customWidth="1"/>
    <col min="2" max="2" width="24" customWidth="1"/>
    <col min="3" max="4" width="18" customWidth="1"/>
    <col min="5" max="5" width="16" customWidth="1"/>
    <col min="6" max="6" width="14.5" customWidth="1"/>
    <col min="7" max="7" width="18.1640625" customWidth="1"/>
    <col min="8" max="8" width="32" customWidth="1"/>
    <col min="9" max="13" width="0" hidden="1" customWidth="1"/>
    <col min="14" max="16384" width="8.83203125" hidden="1"/>
  </cols>
  <sheetData>
    <row r="1" spans="1:13" ht="24" customHeight="1" x14ac:dyDescent="0.25">
      <c r="A1" s="45" t="s">
        <v>37</v>
      </c>
      <c r="B1" s="44"/>
      <c r="C1" s="44"/>
      <c r="D1" s="44"/>
      <c r="E1" s="44"/>
      <c r="F1" s="44"/>
      <c r="G1" s="44"/>
      <c r="H1" s="44"/>
      <c r="I1" s="13"/>
      <c r="J1" s="13"/>
      <c r="K1" s="13"/>
      <c r="L1" s="13"/>
      <c r="M1" s="13"/>
    </row>
    <row r="2" spans="1:13" ht="21" x14ac:dyDescent="0.25">
      <c r="A2" s="13"/>
      <c r="B2" s="13"/>
      <c r="C2" s="13"/>
      <c r="D2" s="13"/>
      <c r="E2" s="13"/>
      <c r="F2" s="13"/>
      <c r="G2" s="13"/>
      <c r="H2" s="13"/>
      <c r="I2" s="13"/>
      <c r="J2" s="13"/>
      <c r="K2" s="13"/>
      <c r="L2" s="13"/>
      <c r="M2" s="13"/>
    </row>
    <row r="3" spans="1:13" ht="34" customHeight="1" x14ac:dyDescent="0.25">
      <c r="A3" s="14" t="s">
        <v>38</v>
      </c>
      <c r="B3" s="14" t="s">
        <v>39</v>
      </c>
      <c r="C3" s="14" t="s">
        <v>40</v>
      </c>
      <c r="D3" s="14" t="s">
        <v>41</v>
      </c>
      <c r="E3" s="14" t="s">
        <v>42</v>
      </c>
      <c r="F3" s="14" t="s">
        <v>43</v>
      </c>
      <c r="G3" s="14" t="s">
        <v>44</v>
      </c>
      <c r="H3" s="14" t="s">
        <v>22</v>
      </c>
      <c r="I3" s="13"/>
      <c r="J3" s="13"/>
      <c r="K3" s="13"/>
      <c r="L3" s="13"/>
      <c r="M3" s="13"/>
    </row>
    <row r="4" spans="1:13" ht="69" x14ac:dyDescent="0.3">
      <c r="A4" s="18" t="s">
        <v>45</v>
      </c>
      <c r="B4" s="25" t="s">
        <v>46</v>
      </c>
      <c r="C4" s="25" t="s">
        <v>47</v>
      </c>
      <c r="D4" s="25" t="s">
        <v>48</v>
      </c>
      <c r="E4" s="25" t="s">
        <v>9</v>
      </c>
      <c r="F4" s="25" t="s">
        <v>11</v>
      </c>
      <c r="G4" s="25" t="s">
        <v>49</v>
      </c>
      <c r="H4" s="25" t="s">
        <v>50</v>
      </c>
      <c r="I4" s="13"/>
      <c r="J4" s="13"/>
      <c r="K4" s="13"/>
      <c r="L4" s="13"/>
      <c r="M4" s="13"/>
    </row>
    <row r="5" spans="1:13" ht="69" x14ac:dyDescent="0.3">
      <c r="A5" s="18" t="s">
        <v>51</v>
      </c>
      <c r="B5" s="25" t="s">
        <v>52</v>
      </c>
      <c r="C5" s="25" t="s">
        <v>53</v>
      </c>
      <c r="D5" s="25" t="s">
        <v>54</v>
      </c>
      <c r="E5" s="25" t="s">
        <v>4</v>
      </c>
      <c r="F5" s="25" t="s">
        <v>6</v>
      </c>
      <c r="G5" s="25" t="s">
        <v>55</v>
      </c>
      <c r="H5" s="25" t="s">
        <v>56</v>
      </c>
      <c r="I5" s="13"/>
      <c r="J5" s="13"/>
      <c r="K5" s="13"/>
      <c r="L5" s="13"/>
      <c r="M5" s="13"/>
    </row>
    <row r="6" spans="1:13" ht="46" x14ac:dyDescent="0.3">
      <c r="A6" s="18" t="s">
        <v>57</v>
      </c>
      <c r="B6" s="25" t="s">
        <v>58</v>
      </c>
      <c r="C6" s="25" t="s">
        <v>59</v>
      </c>
      <c r="D6" s="25" t="s">
        <v>60</v>
      </c>
      <c r="E6" s="25" t="s">
        <v>14</v>
      </c>
      <c r="F6" s="25" t="s">
        <v>11</v>
      </c>
      <c r="G6" s="25" t="s">
        <v>61</v>
      </c>
      <c r="H6" s="25" t="s">
        <v>62</v>
      </c>
      <c r="I6" s="13"/>
      <c r="J6" s="13"/>
      <c r="K6" s="13"/>
      <c r="L6" s="13"/>
      <c r="M6" s="13"/>
    </row>
    <row r="7" spans="1:13" ht="69" x14ac:dyDescent="0.3">
      <c r="A7" s="18" t="s">
        <v>63</v>
      </c>
      <c r="B7" s="25" t="s">
        <v>64</v>
      </c>
      <c r="C7" s="25" t="s">
        <v>65</v>
      </c>
      <c r="D7" s="25" t="s">
        <v>66</v>
      </c>
      <c r="E7" s="25" t="s">
        <v>19</v>
      </c>
      <c r="F7" s="25" t="s">
        <v>6</v>
      </c>
      <c r="G7" s="25" t="s">
        <v>49</v>
      </c>
      <c r="H7" s="25" t="s">
        <v>67</v>
      </c>
      <c r="I7" s="13"/>
      <c r="J7" s="13"/>
      <c r="K7" s="13"/>
      <c r="L7" s="13"/>
      <c r="M7" s="13"/>
    </row>
    <row r="8" spans="1:13" ht="46" x14ac:dyDescent="0.3">
      <c r="A8" s="18" t="s">
        <v>68</v>
      </c>
      <c r="B8" s="25" t="s">
        <v>69</v>
      </c>
      <c r="C8" s="25" t="s">
        <v>70</v>
      </c>
      <c r="D8" s="25" t="s">
        <v>71</v>
      </c>
      <c r="E8" s="25" t="s">
        <v>9</v>
      </c>
      <c r="F8" s="25" t="s">
        <v>6</v>
      </c>
      <c r="G8" s="25" t="s">
        <v>49</v>
      </c>
      <c r="H8" s="25" t="s">
        <v>72</v>
      </c>
      <c r="I8" s="13"/>
      <c r="J8" s="13"/>
      <c r="K8" s="13"/>
      <c r="L8" s="13"/>
      <c r="M8" s="13"/>
    </row>
    <row r="9" spans="1:13" ht="46" x14ac:dyDescent="0.3">
      <c r="A9" s="18" t="s">
        <v>73</v>
      </c>
      <c r="B9" s="25" t="s">
        <v>74</v>
      </c>
      <c r="C9" s="25" t="s">
        <v>75</v>
      </c>
      <c r="D9" s="25" t="s">
        <v>76</v>
      </c>
      <c r="E9" s="25" t="s">
        <v>4</v>
      </c>
      <c r="F9" s="25" t="s">
        <v>11</v>
      </c>
      <c r="G9" s="25" t="s">
        <v>52</v>
      </c>
      <c r="H9" s="25" t="s">
        <v>77</v>
      </c>
      <c r="I9" s="13"/>
      <c r="J9" s="13"/>
      <c r="K9" s="13"/>
      <c r="L9" s="13"/>
      <c r="M9" s="13"/>
    </row>
    <row r="10" spans="1:13" ht="69" x14ac:dyDescent="0.3">
      <c r="A10" s="18" t="s">
        <v>78</v>
      </c>
      <c r="B10" s="25" t="s">
        <v>79</v>
      </c>
      <c r="C10" s="25" t="s">
        <v>80</v>
      </c>
      <c r="D10" s="25" t="s">
        <v>81</v>
      </c>
      <c r="E10" s="25" t="s">
        <v>9</v>
      </c>
      <c r="F10" s="25" t="s">
        <v>11</v>
      </c>
      <c r="G10" s="25" t="s">
        <v>49</v>
      </c>
      <c r="H10" s="25" t="s">
        <v>82</v>
      </c>
      <c r="I10" s="13"/>
      <c r="J10" s="13"/>
      <c r="K10" s="13"/>
      <c r="L10" s="13"/>
      <c r="M10" s="13"/>
    </row>
    <row r="11" spans="1:13" ht="69" x14ac:dyDescent="0.3">
      <c r="A11" s="18" t="s">
        <v>83</v>
      </c>
      <c r="B11" s="25" t="s">
        <v>84</v>
      </c>
      <c r="C11" s="25" t="s">
        <v>85</v>
      </c>
      <c r="D11" s="25" t="s">
        <v>86</v>
      </c>
      <c r="E11" s="25" t="s">
        <v>9</v>
      </c>
      <c r="F11" s="25" t="s">
        <v>11</v>
      </c>
      <c r="G11" s="25" t="s">
        <v>49</v>
      </c>
      <c r="H11" s="25" t="s">
        <v>87</v>
      </c>
      <c r="I11" s="13"/>
      <c r="J11" s="13"/>
      <c r="K11" s="13"/>
      <c r="L11" s="13"/>
      <c r="M11" s="13"/>
    </row>
    <row r="12" spans="1:13" ht="69" x14ac:dyDescent="0.3">
      <c r="A12" s="18" t="s">
        <v>88</v>
      </c>
      <c r="B12" s="25" t="s">
        <v>89</v>
      </c>
      <c r="C12" s="25" t="s">
        <v>90</v>
      </c>
      <c r="D12" s="25" t="s">
        <v>91</v>
      </c>
      <c r="E12" s="25" t="s">
        <v>14</v>
      </c>
      <c r="F12" s="25" t="s">
        <v>6</v>
      </c>
      <c r="G12" s="25" t="s">
        <v>92</v>
      </c>
      <c r="H12" s="25" t="s">
        <v>93</v>
      </c>
      <c r="I12" s="13"/>
      <c r="J12" s="13"/>
      <c r="K12" s="13"/>
      <c r="L12" s="13"/>
      <c r="M12" s="13"/>
    </row>
    <row r="13" spans="1:13" ht="46" x14ac:dyDescent="0.3">
      <c r="A13" s="18" t="s">
        <v>94</v>
      </c>
      <c r="B13" s="25" t="s">
        <v>95</v>
      </c>
      <c r="C13" s="25" t="s">
        <v>96</v>
      </c>
      <c r="D13" s="25" t="s">
        <v>97</v>
      </c>
      <c r="E13" s="25" t="s">
        <v>19</v>
      </c>
      <c r="F13" s="25" t="s">
        <v>1</v>
      </c>
      <c r="G13" s="25" t="s">
        <v>98</v>
      </c>
      <c r="H13" s="25" t="s">
        <v>99</v>
      </c>
      <c r="I13" s="13"/>
      <c r="J13" s="13"/>
      <c r="K13" s="13"/>
      <c r="L13" s="13"/>
      <c r="M13" s="13"/>
    </row>
    <row r="14" spans="1:13" ht="22" x14ac:dyDescent="0.3">
      <c r="A14" s="19"/>
      <c r="B14" s="20"/>
      <c r="C14" s="20"/>
      <c r="D14" s="20"/>
      <c r="E14" s="20"/>
      <c r="F14" s="20"/>
      <c r="G14" s="20"/>
      <c r="H14" s="20"/>
      <c r="I14" s="13"/>
      <c r="J14" s="13"/>
      <c r="K14" s="13"/>
      <c r="L14" s="13"/>
      <c r="M14" s="13"/>
    </row>
    <row r="15" spans="1:13" ht="22" x14ac:dyDescent="0.3">
      <c r="A15" s="19"/>
      <c r="B15" s="20"/>
      <c r="C15" s="20"/>
      <c r="D15" s="20"/>
      <c r="E15" s="20"/>
      <c r="F15" s="20"/>
      <c r="G15" s="20"/>
      <c r="H15" s="20"/>
      <c r="I15" s="13"/>
      <c r="J15" s="13"/>
      <c r="K15" s="13"/>
      <c r="L15" s="13"/>
      <c r="M15" s="13"/>
    </row>
    <row r="16" spans="1:13" ht="22" x14ac:dyDescent="0.3">
      <c r="A16" s="19"/>
      <c r="B16" s="20"/>
      <c r="C16" s="20"/>
      <c r="D16" s="20"/>
      <c r="E16" s="20"/>
      <c r="F16" s="20"/>
      <c r="G16" s="20"/>
      <c r="H16" s="20"/>
      <c r="I16" s="13"/>
      <c r="J16" s="13"/>
      <c r="K16" s="13"/>
      <c r="L16" s="13"/>
      <c r="M16" s="13"/>
    </row>
    <row r="17" spans="1:13" ht="22" x14ac:dyDescent="0.3">
      <c r="A17" s="19"/>
      <c r="B17" s="20"/>
      <c r="C17" s="20"/>
      <c r="D17" s="20"/>
      <c r="E17" s="20"/>
      <c r="F17" s="20"/>
      <c r="G17" s="20"/>
      <c r="H17" s="20"/>
      <c r="I17" s="13"/>
      <c r="J17" s="13"/>
      <c r="K17" s="13"/>
      <c r="L17" s="13"/>
      <c r="M17" s="13"/>
    </row>
    <row r="18" spans="1:13" ht="22" x14ac:dyDescent="0.3">
      <c r="A18" s="19"/>
      <c r="B18" s="20"/>
      <c r="C18" s="20"/>
      <c r="D18" s="20"/>
      <c r="E18" s="20"/>
      <c r="F18" s="20"/>
      <c r="G18" s="20"/>
      <c r="H18" s="20"/>
      <c r="I18" s="13"/>
      <c r="J18" s="13"/>
      <c r="K18" s="13"/>
      <c r="L18" s="13"/>
      <c r="M18" s="13"/>
    </row>
    <row r="19" spans="1:13" ht="22" x14ac:dyDescent="0.3">
      <c r="A19" s="19"/>
      <c r="B19" s="20"/>
      <c r="C19" s="20"/>
      <c r="D19" s="20"/>
      <c r="E19" s="20"/>
      <c r="F19" s="20"/>
      <c r="G19" s="20"/>
      <c r="H19" s="20"/>
      <c r="I19" s="13"/>
      <c r="J19" s="13"/>
      <c r="K19" s="13"/>
      <c r="L19" s="13"/>
      <c r="M19" s="13"/>
    </row>
    <row r="20" spans="1:13" ht="22" x14ac:dyDescent="0.3">
      <c r="A20" s="19"/>
      <c r="B20" s="20"/>
      <c r="C20" s="20"/>
      <c r="D20" s="20"/>
      <c r="E20" s="20"/>
      <c r="F20" s="20"/>
      <c r="G20" s="20"/>
      <c r="H20" s="20"/>
      <c r="I20" s="13"/>
      <c r="J20" s="13"/>
      <c r="K20" s="13"/>
      <c r="L20" s="13"/>
      <c r="M20" s="13"/>
    </row>
    <row r="21" spans="1:13" ht="22" x14ac:dyDescent="0.3">
      <c r="A21" s="19"/>
      <c r="B21" s="20"/>
      <c r="C21" s="20"/>
      <c r="D21" s="20"/>
      <c r="E21" s="20"/>
      <c r="F21" s="20"/>
      <c r="G21" s="20"/>
      <c r="H21" s="20"/>
      <c r="I21" s="13"/>
      <c r="J21" s="13"/>
      <c r="K21" s="13"/>
      <c r="L21" s="13"/>
      <c r="M21" s="13"/>
    </row>
    <row r="22" spans="1:13" ht="22" x14ac:dyDescent="0.3">
      <c r="A22" s="19"/>
      <c r="B22" s="20"/>
      <c r="C22" s="20"/>
      <c r="D22" s="20"/>
      <c r="E22" s="20"/>
      <c r="F22" s="20"/>
      <c r="G22" s="20"/>
      <c r="H22" s="20"/>
      <c r="I22" s="13"/>
      <c r="J22" s="13"/>
      <c r="K22" s="13"/>
      <c r="L22" s="13"/>
      <c r="M22" s="13"/>
    </row>
    <row r="23" spans="1:13" ht="22" x14ac:dyDescent="0.3">
      <c r="A23" s="19"/>
      <c r="B23" s="20"/>
      <c r="C23" s="20"/>
      <c r="D23" s="20"/>
      <c r="E23" s="20"/>
      <c r="F23" s="20"/>
      <c r="G23" s="20"/>
      <c r="H23" s="20"/>
      <c r="I23" s="13"/>
      <c r="J23" s="13"/>
      <c r="K23" s="13"/>
      <c r="L23" s="13"/>
      <c r="M23" s="13"/>
    </row>
    <row r="24" spans="1:13" ht="22" x14ac:dyDescent="0.3">
      <c r="A24" s="19"/>
      <c r="B24" s="20"/>
      <c r="C24" s="20"/>
      <c r="D24" s="20"/>
      <c r="E24" s="20"/>
      <c r="F24" s="20"/>
      <c r="G24" s="20"/>
      <c r="H24" s="20"/>
      <c r="I24" s="13"/>
      <c r="J24" s="13"/>
      <c r="K24" s="13"/>
      <c r="L24" s="13"/>
      <c r="M24" s="13"/>
    </row>
    <row r="25" spans="1:13" x14ac:dyDescent="0.2">
      <c r="A25" s="4"/>
      <c r="B25" s="5"/>
      <c r="C25" s="5"/>
      <c r="D25" s="5"/>
      <c r="E25" s="5"/>
      <c r="F25" s="5"/>
      <c r="G25" s="5"/>
      <c r="H25" s="5"/>
    </row>
    <row r="26" spans="1:13" x14ac:dyDescent="0.2">
      <c r="A26" s="4"/>
      <c r="B26" s="5"/>
      <c r="C26" s="5"/>
      <c r="D26" s="5"/>
      <c r="E26" s="5"/>
      <c r="F26" s="5"/>
      <c r="G26" s="5"/>
      <c r="H26" s="5"/>
    </row>
    <row r="27" spans="1:13" x14ac:dyDescent="0.2">
      <c r="A27" s="4"/>
      <c r="B27" s="5"/>
      <c r="C27" s="5"/>
      <c r="D27" s="5"/>
      <c r="E27" s="5"/>
      <c r="F27" s="5"/>
      <c r="G27" s="5"/>
      <c r="H27" s="5"/>
    </row>
    <row r="28" spans="1:13" x14ac:dyDescent="0.2">
      <c r="A28" s="4"/>
      <c r="B28" s="5"/>
      <c r="C28" s="5"/>
      <c r="D28" s="5"/>
      <c r="E28" s="5"/>
      <c r="F28" s="5"/>
      <c r="G28" s="5"/>
      <c r="H28" s="5"/>
    </row>
    <row r="29" spans="1:13" x14ac:dyDescent="0.2">
      <c r="A29" s="4"/>
      <c r="B29" s="5"/>
      <c r="C29" s="5"/>
      <c r="D29" s="5"/>
      <c r="E29" s="5"/>
      <c r="F29" s="5"/>
      <c r="G29" s="5"/>
      <c r="H29" s="5"/>
    </row>
    <row r="30" spans="1:13" x14ac:dyDescent="0.2">
      <c r="A30" s="4"/>
      <c r="B30" s="5"/>
      <c r="C30" s="5"/>
      <c r="D30" s="5"/>
      <c r="E30" s="5"/>
      <c r="F30" s="5"/>
      <c r="G30" s="5"/>
      <c r="H30" s="5"/>
    </row>
    <row r="31" spans="1:13" x14ac:dyDescent="0.2">
      <c r="A31" s="4"/>
      <c r="B31" s="5"/>
      <c r="C31" s="5"/>
      <c r="D31" s="5"/>
      <c r="E31" s="5"/>
      <c r="F31" s="5"/>
      <c r="G31" s="5"/>
      <c r="H31" s="5"/>
    </row>
    <row r="32" spans="1:13" x14ac:dyDescent="0.2">
      <c r="A32" s="4"/>
      <c r="B32" s="5"/>
      <c r="C32" s="5"/>
      <c r="D32" s="5"/>
      <c r="E32" s="5"/>
      <c r="F32" s="5"/>
      <c r="G32" s="5"/>
      <c r="H32" s="5"/>
    </row>
    <row r="33" spans="1:8" x14ac:dyDescent="0.2">
      <c r="A33" s="4"/>
      <c r="B33" s="5"/>
      <c r="C33" s="5"/>
      <c r="D33" s="5"/>
      <c r="E33" s="5"/>
      <c r="F33" s="5"/>
      <c r="G33" s="5"/>
      <c r="H33" s="5"/>
    </row>
    <row r="34" spans="1:8" x14ac:dyDescent="0.2">
      <c r="A34" s="4"/>
      <c r="B34" s="5"/>
      <c r="C34" s="5"/>
      <c r="D34" s="5"/>
      <c r="E34" s="5"/>
      <c r="F34" s="5"/>
      <c r="G34" s="5"/>
      <c r="H34" s="5"/>
    </row>
    <row r="35" spans="1:8" x14ac:dyDescent="0.2">
      <c r="A35" s="4"/>
      <c r="B35" s="5"/>
      <c r="C35" s="5"/>
      <c r="D35" s="5"/>
      <c r="E35" s="5"/>
      <c r="F35" s="5"/>
      <c r="G35" s="5"/>
      <c r="H35" s="5"/>
    </row>
    <row r="36" spans="1:8" x14ac:dyDescent="0.2">
      <c r="A36" s="4"/>
      <c r="B36" s="5"/>
      <c r="C36" s="5"/>
      <c r="D36" s="5"/>
      <c r="E36" s="5"/>
      <c r="F36" s="5"/>
      <c r="G36" s="5"/>
      <c r="H36" s="5"/>
    </row>
    <row r="37" spans="1:8" x14ac:dyDescent="0.2">
      <c r="A37" s="4"/>
      <c r="B37" s="5"/>
      <c r="C37" s="5"/>
      <c r="D37" s="5"/>
      <c r="E37" s="5"/>
      <c r="F37" s="5"/>
      <c r="G37" s="5"/>
      <c r="H37" s="5"/>
    </row>
    <row r="38" spans="1:8" x14ac:dyDescent="0.2">
      <c r="A38" s="4"/>
      <c r="B38" s="5"/>
      <c r="C38" s="5"/>
      <c r="D38" s="5"/>
      <c r="E38" s="5"/>
      <c r="F38" s="5"/>
      <c r="G38" s="5"/>
      <c r="H38" s="5"/>
    </row>
    <row r="39" spans="1:8" x14ac:dyDescent="0.2">
      <c r="A39" s="4"/>
      <c r="B39" s="5"/>
      <c r="C39" s="5"/>
      <c r="D39" s="5"/>
      <c r="E39" s="5"/>
      <c r="F39" s="5"/>
      <c r="G39" s="5"/>
      <c r="H39" s="5"/>
    </row>
    <row r="40" spans="1:8" x14ac:dyDescent="0.2">
      <c r="A40" s="4"/>
      <c r="B40" s="5"/>
      <c r="C40" s="5"/>
      <c r="D40" s="5"/>
      <c r="E40" s="5"/>
      <c r="F40" s="5"/>
      <c r="G40" s="5"/>
      <c r="H40" s="5"/>
    </row>
    <row r="41" spans="1:8" x14ac:dyDescent="0.2">
      <c r="A41" s="4"/>
      <c r="B41" s="5"/>
      <c r="C41" s="5"/>
      <c r="D41" s="5"/>
      <c r="E41" s="5"/>
      <c r="F41" s="5"/>
      <c r="G41" s="5"/>
      <c r="H41" s="5"/>
    </row>
    <row r="42" spans="1:8" x14ac:dyDescent="0.2">
      <c r="A42" s="4"/>
      <c r="B42" s="5"/>
      <c r="C42" s="5"/>
      <c r="D42" s="5"/>
      <c r="E42" s="5"/>
      <c r="F42" s="5"/>
      <c r="G42" s="5"/>
      <c r="H42" s="5"/>
    </row>
    <row r="43" spans="1:8" x14ac:dyDescent="0.2">
      <c r="A43" s="4"/>
      <c r="B43" s="5"/>
      <c r="C43" s="5"/>
      <c r="D43" s="5"/>
      <c r="E43" s="5"/>
      <c r="F43" s="5"/>
      <c r="G43" s="5"/>
      <c r="H43" s="5"/>
    </row>
    <row r="44" spans="1:8" x14ac:dyDescent="0.2">
      <c r="A44" s="4"/>
      <c r="B44" s="5"/>
      <c r="C44" s="5"/>
      <c r="D44" s="5"/>
      <c r="E44" s="5"/>
      <c r="F44" s="5"/>
      <c r="G44" s="5"/>
      <c r="H44" s="5"/>
    </row>
    <row r="45" spans="1:8" x14ac:dyDescent="0.2">
      <c r="A45" s="4"/>
      <c r="B45" s="5"/>
      <c r="C45" s="5"/>
      <c r="D45" s="5"/>
      <c r="E45" s="5"/>
      <c r="F45" s="5"/>
      <c r="G45" s="5"/>
      <c r="H45" s="5"/>
    </row>
    <row r="46" spans="1:8" x14ac:dyDescent="0.2">
      <c r="A46" s="4"/>
      <c r="B46" s="5"/>
      <c r="C46" s="5"/>
      <c r="D46" s="5"/>
      <c r="E46" s="5"/>
      <c r="F46" s="5"/>
      <c r="G46" s="5"/>
      <c r="H46" s="5"/>
    </row>
    <row r="47" spans="1:8" x14ac:dyDescent="0.2">
      <c r="A47" s="4"/>
      <c r="B47" s="5"/>
      <c r="C47" s="5"/>
      <c r="D47" s="5"/>
      <c r="E47" s="5"/>
      <c r="F47" s="5"/>
      <c r="G47" s="5"/>
      <c r="H47" s="5"/>
    </row>
    <row r="48" spans="1:8" x14ac:dyDescent="0.2">
      <c r="A48" s="4"/>
      <c r="B48" s="5"/>
      <c r="C48" s="5"/>
      <c r="D48" s="5"/>
      <c r="E48" s="5"/>
      <c r="F48" s="5"/>
      <c r="G48" s="5"/>
      <c r="H48" s="5"/>
    </row>
    <row r="49" spans="1:8" x14ac:dyDescent="0.2">
      <c r="A49" s="4"/>
      <c r="B49" s="5"/>
      <c r="C49" s="5"/>
      <c r="D49" s="5"/>
      <c r="E49" s="5"/>
      <c r="F49" s="5"/>
      <c r="G49" s="5"/>
      <c r="H49" s="5"/>
    </row>
    <row r="50" spans="1:8" x14ac:dyDescent="0.2">
      <c r="A50" s="4"/>
      <c r="B50" s="5"/>
      <c r="C50" s="5"/>
      <c r="D50" s="5"/>
      <c r="E50" s="5"/>
      <c r="F50" s="5"/>
      <c r="G50" s="5"/>
      <c r="H50" s="5"/>
    </row>
    <row r="51" spans="1:8" x14ac:dyDescent="0.2">
      <c r="A51" s="4"/>
      <c r="B51" s="5"/>
      <c r="C51" s="5"/>
      <c r="D51" s="5"/>
      <c r="E51" s="5"/>
      <c r="F51" s="5"/>
      <c r="G51" s="5"/>
      <c r="H51" s="5"/>
    </row>
    <row r="52" spans="1:8" x14ac:dyDescent="0.2">
      <c r="A52" s="4"/>
      <c r="B52" s="5"/>
      <c r="C52" s="5"/>
      <c r="D52" s="5"/>
      <c r="E52" s="5"/>
      <c r="F52" s="5"/>
      <c r="G52" s="5"/>
      <c r="H52" s="5"/>
    </row>
    <row r="53" spans="1:8" x14ac:dyDescent="0.2">
      <c r="A53" s="4"/>
      <c r="B53" s="5"/>
      <c r="C53" s="5"/>
      <c r="D53" s="5"/>
      <c r="E53" s="5"/>
      <c r="F53" s="5"/>
      <c r="G53" s="5"/>
      <c r="H53" s="5"/>
    </row>
    <row r="54" spans="1:8" x14ac:dyDescent="0.2">
      <c r="A54" s="4"/>
      <c r="B54" s="5"/>
      <c r="C54" s="5"/>
      <c r="D54" s="5"/>
      <c r="E54" s="5"/>
      <c r="F54" s="5"/>
      <c r="G54" s="5"/>
      <c r="H54" s="5"/>
    </row>
    <row r="55" spans="1:8" x14ac:dyDescent="0.2">
      <c r="A55" s="4"/>
      <c r="B55" s="5"/>
      <c r="C55" s="5"/>
      <c r="D55" s="5"/>
      <c r="E55" s="5"/>
      <c r="F55" s="5"/>
      <c r="G55" s="5"/>
      <c r="H55" s="5"/>
    </row>
    <row r="56" spans="1:8" x14ac:dyDescent="0.2">
      <c r="A56" s="4"/>
      <c r="B56" s="5"/>
      <c r="C56" s="5"/>
      <c r="D56" s="5"/>
      <c r="E56" s="5"/>
      <c r="F56" s="5"/>
      <c r="G56" s="5"/>
      <c r="H56" s="5"/>
    </row>
    <row r="57" spans="1:8" x14ac:dyDescent="0.2">
      <c r="A57" s="4"/>
      <c r="B57" s="5"/>
      <c r="C57" s="5"/>
      <c r="D57" s="5"/>
      <c r="E57" s="5"/>
      <c r="F57" s="5"/>
      <c r="G57" s="5"/>
      <c r="H57" s="5"/>
    </row>
    <row r="58" spans="1:8" x14ac:dyDescent="0.2">
      <c r="A58" s="4"/>
      <c r="B58" s="5"/>
      <c r="C58" s="5"/>
      <c r="D58" s="5"/>
      <c r="E58" s="5"/>
      <c r="F58" s="5"/>
      <c r="G58" s="5"/>
      <c r="H58" s="5"/>
    </row>
    <row r="59" spans="1:8" x14ac:dyDescent="0.2">
      <c r="A59" s="4"/>
      <c r="B59" s="5"/>
      <c r="C59" s="5"/>
      <c r="D59" s="5"/>
      <c r="E59" s="5"/>
      <c r="F59" s="5"/>
      <c r="G59" s="5"/>
      <c r="H59" s="5"/>
    </row>
    <row r="60" spans="1:8" x14ac:dyDescent="0.2">
      <c r="A60" s="4"/>
      <c r="B60" s="5"/>
      <c r="C60" s="5"/>
      <c r="D60" s="5"/>
      <c r="E60" s="5"/>
      <c r="F60" s="5"/>
      <c r="G60" s="5"/>
      <c r="H60" s="5"/>
    </row>
  </sheetData>
  <mergeCells count="1">
    <mergeCell ref="A1:H1"/>
  </mergeCells>
  <dataValidations count="2">
    <dataValidation type="list" allowBlank="1" sqref="F4:F200" xr:uid="{00000000-0002-0000-0200-000000000000}">
      <formula1>AssetCriticalityList</formula1>
    </dataValidation>
    <dataValidation type="list" allowBlank="1" sqref="E4:E200" xr:uid="{00000000-0002-0000-0200-000001000000}">
      <formula1>OwnerList</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23"/>
  <sheetViews>
    <sheetView showGridLines="0" workbookViewId="0">
      <selection activeCell="I1" sqref="I1:XFD1048576"/>
    </sheetView>
  </sheetViews>
  <sheetFormatPr baseColWidth="10" defaultColWidth="0" defaultRowHeight="15" x14ac:dyDescent="0.2"/>
  <cols>
    <col min="1" max="1" width="22" customWidth="1"/>
    <col min="2" max="2" width="100" customWidth="1"/>
    <col min="3" max="8" width="14" customWidth="1"/>
    <col min="9" max="16384" width="8.83203125" hidden="1"/>
  </cols>
  <sheetData>
    <row r="1" spans="1:8" ht="24" customHeight="1" x14ac:dyDescent="0.25">
      <c r="A1" s="45" t="s">
        <v>20</v>
      </c>
      <c r="B1" s="44"/>
      <c r="C1" s="44"/>
      <c r="D1" s="44"/>
      <c r="E1" s="44"/>
      <c r="F1" s="44"/>
      <c r="G1" s="44"/>
      <c r="H1" s="44"/>
    </row>
    <row r="2" spans="1:8" ht="21" x14ac:dyDescent="0.25">
      <c r="A2" s="13"/>
      <c r="B2" s="13"/>
      <c r="C2" s="13"/>
      <c r="D2" s="13"/>
      <c r="E2" s="13"/>
      <c r="F2" s="13"/>
      <c r="G2" s="13"/>
      <c r="H2" s="13"/>
    </row>
    <row r="3" spans="1:8" ht="34" customHeight="1" x14ac:dyDescent="0.25">
      <c r="A3" s="14" t="s">
        <v>21</v>
      </c>
      <c r="B3" s="14" t="s">
        <v>22</v>
      </c>
      <c r="C3" s="13"/>
      <c r="D3" s="13"/>
      <c r="E3" s="13"/>
      <c r="F3" s="13"/>
      <c r="G3" s="13"/>
      <c r="H3" s="13"/>
    </row>
    <row r="4" spans="1:8" ht="44" x14ac:dyDescent="0.25">
      <c r="A4" s="15" t="s">
        <v>23</v>
      </c>
      <c r="B4" s="16" t="s">
        <v>24</v>
      </c>
      <c r="C4" s="13"/>
      <c r="D4" s="13"/>
      <c r="E4" s="13"/>
      <c r="F4" s="13"/>
      <c r="G4" s="13"/>
      <c r="H4" s="13"/>
    </row>
    <row r="5" spans="1:8" ht="66" x14ac:dyDescent="0.25">
      <c r="A5" s="15" t="s">
        <v>25</v>
      </c>
      <c r="B5" s="16" t="s">
        <v>26</v>
      </c>
      <c r="C5" s="13"/>
      <c r="D5" s="13"/>
      <c r="E5" s="13"/>
      <c r="F5" s="13"/>
      <c r="G5" s="13"/>
      <c r="H5" s="13"/>
    </row>
    <row r="6" spans="1:8" ht="44" x14ac:dyDescent="0.25">
      <c r="A6" s="15" t="s">
        <v>27</v>
      </c>
      <c r="B6" s="16" t="s">
        <v>28</v>
      </c>
      <c r="C6" s="13"/>
      <c r="D6" s="13"/>
      <c r="E6" s="13"/>
      <c r="F6" s="13"/>
      <c r="G6" s="13"/>
      <c r="H6" s="13"/>
    </row>
    <row r="7" spans="1:8" ht="44" x14ac:dyDescent="0.25">
      <c r="A7" s="15" t="s">
        <v>29</v>
      </c>
      <c r="B7" s="16" t="s">
        <v>30</v>
      </c>
      <c r="C7" s="13"/>
      <c r="D7" s="13"/>
      <c r="E7" s="13"/>
      <c r="F7" s="13"/>
      <c r="G7" s="13"/>
      <c r="H7" s="13"/>
    </row>
    <row r="8" spans="1:8" ht="66" x14ac:dyDescent="0.25">
      <c r="A8" s="15" t="s">
        <v>31</v>
      </c>
      <c r="B8" s="16" t="s">
        <v>32</v>
      </c>
      <c r="C8" s="13"/>
      <c r="D8" s="13"/>
      <c r="E8" s="13"/>
      <c r="F8" s="13"/>
      <c r="G8" s="13"/>
      <c r="H8" s="13"/>
    </row>
    <row r="9" spans="1:8" ht="44" x14ac:dyDescent="0.25">
      <c r="A9" s="15" t="s">
        <v>33</v>
      </c>
      <c r="B9" s="16" t="s">
        <v>34</v>
      </c>
      <c r="C9" s="13"/>
      <c r="D9" s="13"/>
      <c r="E9" s="13"/>
      <c r="F9" s="13"/>
      <c r="G9" s="13"/>
      <c r="H9" s="13"/>
    </row>
    <row r="10" spans="1:8" ht="21" x14ac:dyDescent="0.25">
      <c r="A10" s="13"/>
      <c r="B10" s="13"/>
      <c r="C10" s="13"/>
      <c r="D10" s="13"/>
      <c r="E10" s="13"/>
      <c r="F10" s="13"/>
      <c r="G10" s="13"/>
      <c r="H10" s="13"/>
    </row>
    <row r="11" spans="1:8" ht="21" x14ac:dyDescent="0.25">
      <c r="A11" s="13"/>
      <c r="B11" s="13"/>
      <c r="C11" s="13"/>
      <c r="D11" s="13"/>
      <c r="E11" s="13"/>
      <c r="F11" s="13"/>
      <c r="G11" s="13"/>
      <c r="H11" s="13"/>
    </row>
    <row r="12" spans="1:8" ht="22" x14ac:dyDescent="0.3">
      <c r="A12" s="17" t="s">
        <v>35</v>
      </c>
      <c r="B12" s="13"/>
      <c r="C12" s="13"/>
      <c r="D12" s="13"/>
      <c r="E12" s="13"/>
      <c r="F12" s="13"/>
      <c r="G12" s="13"/>
      <c r="H12" s="13"/>
    </row>
    <row r="13" spans="1:8" ht="22" x14ac:dyDescent="0.3">
      <c r="A13" s="43" t="s">
        <v>36</v>
      </c>
      <c r="B13" s="44"/>
      <c r="C13" s="44"/>
      <c r="D13" s="44"/>
      <c r="E13" s="44"/>
      <c r="F13" s="44"/>
      <c r="G13" s="44"/>
      <c r="H13" s="44"/>
    </row>
    <row r="14" spans="1:8" ht="21" x14ac:dyDescent="0.25">
      <c r="A14" s="13"/>
      <c r="B14" s="13"/>
      <c r="C14" s="13"/>
      <c r="D14" s="13"/>
      <c r="E14" s="13"/>
      <c r="F14" s="13"/>
      <c r="G14" s="13"/>
      <c r="H14" s="13"/>
    </row>
    <row r="15" spans="1:8" ht="21" x14ac:dyDescent="0.25">
      <c r="A15" s="13"/>
      <c r="B15" s="13"/>
      <c r="C15" s="13"/>
      <c r="D15" s="13"/>
      <c r="E15" s="13"/>
      <c r="F15" s="13"/>
      <c r="G15" s="13"/>
      <c r="H15" s="13"/>
    </row>
    <row r="16" spans="1:8" ht="21" x14ac:dyDescent="0.25">
      <c r="A16" s="13"/>
      <c r="B16" s="13"/>
      <c r="C16" s="13"/>
      <c r="D16" s="13"/>
      <c r="E16" s="13"/>
      <c r="F16" s="13"/>
      <c r="G16" s="13"/>
      <c r="H16" s="13"/>
    </row>
    <row r="17" spans="1:8" ht="21" x14ac:dyDescent="0.25">
      <c r="A17" s="13"/>
      <c r="B17" s="13"/>
      <c r="C17" s="13"/>
      <c r="D17" s="13"/>
      <c r="E17" s="13"/>
      <c r="F17" s="13"/>
      <c r="G17" s="13"/>
      <c r="H17" s="13"/>
    </row>
    <row r="18" spans="1:8" ht="21" x14ac:dyDescent="0.25">
      <c r="A18" s="13"/>
      <c r="B18" s="13"/>
      <c r="C18" s="13"/>
      <c r="D18" s="13"/>
      <c r="E18" s="13"/>
      <c r="F18" s="13"/>
      <c r="G18" s="13"/>
      <c r="H18" s="13"/>
    </row>
    <row r="19" spans="1:8" ht="21" x14ac:dyDescent="0.25">
      <c r="A19" s="13"/>
      <c r="B19" s="13"/>
      <c r="C19" s="13"/>
      <c r="D19" s="13"/>
      <c r="E19" s="13"/>
      <c r="F19" s="13"/>
      <c r="G19" s="13"/>
      <c r="H19" s="13"/>
    </row>
    <row r="20" spans="1:8" ht="21" x14ac:dyDescent="0.25">
      <c r="A20" s="13"/>
      <c r="B20" s="13"/>
      <c r="C20" s="13"/>
      <c r="D20" s="13"/>
      <c r="E20" s="13"/>
      <c r="F20" s="13"/>
      <c r="G20" s="13"/>
      <c r="H20" s="13"/>
    </row>
    <row r="21" spans="1:8" ht="21" x14ac:dyDescent="0.25">
      <c r="A21" s="13"/>
      <c r="B21" s="13"/>
      <c r="C21" s="13"/>
      <c r="D21" s="13"/>
      <c r="E21" s="13"/>
      <c r="F21" s="13"/>
      <c r="G21" s="13"/>
      <c r="H21" s="13"/>
    </row>
    <row r="22" spans="1:8" ht="21" x14ac:dyDescent="0.25">
      <c r="A22" s="13"/>
      <c r="B22" s="13"/>
      <c r="C22" s="13"/>
      <c r="D22" s="13"/>
      <c r="E22" s="13"/>
      <c r="F22" s="13"/>
      <c r="G22" s="13"/>
      <c r="H22" s="13"/>
    </row>
    <row r="23" spans="1:8" ht="21" x14ac:dyDescent="0.25">
      <c r="A23" s="13"/>
      <c r="B23" s="13"/>
      <c r="C23" s="13"/>
      <c r="D23" s="13"/>
      <c r="E23" s="13"/>
      <c r="F23" s="13"/>
      <c r="G23" s="13"/>
      <c r="H23" s="13"/>
    </row>
  </sheetData>
  <mergeCells count="2">
    <mergeCell ref="A13:H13"/>
    <mergeCell ref="A1: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9"/>
  <sheetViews>
    <sheetView workbookViewId="0">
      <selection activeCell="H1" sqref="H1:XFD1048576"/>
    </sheetView>
  </sheetViews>
  <sheetFormatPr baseColWidth="10" defaultColWidth="0" defaultRowHeight="15" x14ac:dyDescent="0.2"/>
  <cols>
    <col min="1" max="1" width="17.6640625" customWidth="1"/>
    <col min="2" max="2" width="14.6640625" customWidth="1"/>
    <col min="3" max="3" width="14" customWidth="1"/>
    <col min="4" max="4" width="13.83203125" customWidth="1"/>
    <col min="5" max="5" width="15.1640625" customWidth="1"/>
    <col min="6" max="6" width="11.6640625" customWidth="1"/>
    <col min="7" max="7" width="11.83203125" customWidth="1"/>
    <col min="8" max="10" width="0" hidden="1" customWidth="1"/>
    <col min="11" max="16384" width="8.83203125" hidden="1"/>
  </cols>
  <sheetData>
    <row r="1" spans="1:10" ht="21" x14ac:dyDescent="0.25">
      <c r="A1" s="13" t="s">
        <v>0</v>
      </c>
      <c r="B1" s="13" t="s">
        <v>1</v>
      </c>
      <c r="C1" s="13" t="s">
        <v>2</v>
      </c>
      <c r="D1" s="13" t="s">
        <v>3</v>
      </c>
      <c r="E1" s="13" t="s">
        <v>1</v>
      </c>
      <c r="F1" s="13" t="s">
        <v>1</v>
      </c>
      <c r="G1" s="13" t="s">
        <v>4</v>
      </c>
      <c r="H1" s="13"/>
      <c r="I1" s="13"/>
      <c r="J1" s="13"/>
    </row>
    <row r="2" spans="1:10" ht="21" x14ac:dyDescent="0.25">
      <c r="A2" s="13" t="s">
        <v>5</v>
      </c>
      <c r="B2" s="13" t="s">
        <v>6</v>
      </c>
      <c r="C2" s="13" t="s">
        <v>7</v>
      </c>
      <c r="D2" s="13" t="s">
        <v>8</v>
      </c>
      <c r="E2" s="13" t="s">
        <v>6</v>
      </c>
      <c r="F2" s="13" t="s">
        <v>6</v>
      </c>
      <c r="G2" s="13" t="s">
        <v>9</v>
      </c>
      <c r="H2" s="13"/>
      <c r="I2" s="13"/>
      <c r="J2" s="13"/>
    </row>
    <row r="3" spans="1:10" ht="21" x14ac:dyDescent="0.25">
      <c r="A3" s="13" t="s">
        <v>10</v>
      </c>
      <c r="B3" s="13" t="s">
        <v>11</v>
      </c>
      <c r="C3" s="13" t="s">
        <v>12</v>
      </c>
      <c r="D3" s="13" t="s">
        <v>13</v>
      </c>
      <c r="E3" s="13" t="s">
        <v>11</v>
      </c>
      <c r="F3" s="13" t="s">
        <v>11</v>
      </c>
      <c r="G3" s="13" t="s">
        <v>14</v>
      </c>
      <c r="H3" s="13"/>
      <c r="I3" s="13"/>
      <c r="J3" s="13"/>
    </row>
    <row r="4" spans="1:10" ht="21" x14ac:dyDescent="0.25">
      <c r="A4" s="13"/>
      <c r="B4" s="13" t="s">
        <v>15</v>
      </c>
      <c r="C4" s="13" t="s">
        <v>16</v>
      </c>
      <c r="D4" s="13" t="s">
        <v>17</v>
      </c>
      <c r="E4" s="13" t="s">
        <v>15</v>
      </c>
      <c r="F4" s="13" t="s">
        <v>15</v>
      </c>
      <c r="G4" s="13" t="s">
        <v>18</v>
      </c>
      <c r="H4" s="13"/>
      <c r="I4" s="13"/>
      <c r="J4" s="13"/>
    </row>
    <row r="5" spans="1:10" ht="21" x14ac:dyDescent="0.25">
      <c r="A5" s="13"/>
      <c r="B5" s="13"/>
      <c r="C5" s="13"/>
      <c r="D5" s="13"/>
      <c r="E5" s="13"/>
      <c r="F5" s="13"/>
      <c r="G5" s="13" t="s">
        <v>19</v>
      </c>
      <c r="H5" s="13"/>
      <c r="I5" s="13"/>
      <c r="J5" s="13"/>
    </row>
    <row r="6" spans="1:10" ht="21" x14ac:dyDescent="0.25">
      <c r="A6" s="13"/>
      <c r="B6" s="13"/>
      <c r="C6" s="13"/>
      <c r="D6" s="13"/>
      <c r="E6" s="13"/>
      <c r="F6" s="13"/>
      <c r="G6" s="13"/>
      <c r="H6" s="13"/>
      <c r="I6" s="13"/>
      <c r="J6" s="13"/>
    </row>
    <row r="7" spans="1:10" ht="21" x14ac:dyDescent="0.25">
      <c r="A7" s="13"/>
      <c r="B7" s="13"/>
      <c r="C7" s="13"/>
      <c r="D7" s="13"/>
      <c r="E7" s="13"/>
      <c r="F7" s="13"/>
      <c r="G7" s="13"/>
      <c r="H7" s="13"/>
      <c r="I7" s="13"/>
      <c r="J7" s="13"/>
    </row>
    <row r="8" spans="1:10" ht="21" x14ac:dyDescent="0.25">
      <c r="A8" s="13"/>
      <c r="B8" s="13"/>
      <c r="C8" s="13"/>
      <c r="D8" s="13"/>
      <c r="E8" s="13"/>
      <c r="F8" s="13"/>
      <c r="G8" s="13"/>
      <c r="H8" s="13"/>
      <c r="I8" s="13"/>
      <c r="J8" s="13"/>
    </row>
    <row r="9" spans="1:10" ht="21" x14ac:dyDescent="0.25">
      <c r="A9" s="13"/>
      <c r="B9" s="13"/>
      <c r="C9" s="13"/>
      <c r="D9" s="13"/>
      <c r="E9" s="13"/>
      <c r="F9" s="13"/>
      <c r="G9" s="13"/>
      <c r="H9" s="13"/>
      <c r="I9" s="13"/>
      <c r="J9" s="1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Dashboard</vt:lpstr>
      <vt:lpstr>Executive Summary </vt:lpstr>
      <vt:lpstr>Compliance Assessment</vt:lpstr>
      <vt:lpstr>Risk Register</vt:lpstr>
      <vt:lpstr>Remediation Plan</vt:lpstr>
      <vt:lpstr>Evidence Appendix</vt:lpstr>
      <vt:lpstr>Asset Inventory</vt:lpstr>
      <vt:lpstr>Instructions</vt:lpstr>
      <vt:lpstr>Lists</vt:lpstr>
      <vt:lpstr>AssetCriticalityList</vt:lpstr>
      <vt:lpstr>OwnerList</vt:lpstr>
      <vt:lpstr>PriorityList</vt:lpstr>
      <vt:lpstr>RemediationStatusList</vt:lpstr>
      <vt:lpstr>RiskLevelList</vt:lpstr>
      <vt:lpstr>StatusList</vt:lpstr>
      <vt:lpstr>TreatmentList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Cortney Warren</cp:lastModifiedBy>
  <dcterms:created xsi:type="dcterms:W3CDTF">2026-04-15T06:11:18Z</dcterms:created>
  <dcterms:modified xsi:type="dcterms:W3CDTF">2026-04-16T17:59:20Z</dcterms:modified>
</cp:coreProperties>
</file>